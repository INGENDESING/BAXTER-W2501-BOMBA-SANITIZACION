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7e40d5c9560bae5/Documents/001. PROYECTOS/001. BAXTER/LUIS CARLOS ORTIZ/010. BOMBA DE CALOR 2025/INGENIERIA/01. INGENIERIA BASICA/00. ENTREGA JULIO 14/5.0 PR- ESTUDIOS TECNICO ECONOMICOS/1 Memorias Calculo Excel Python/"/>
    </mc:Choice>
  </mc:AlternateContent>
  <xr:revisionPtr revIDLastSave="5" documentId="13_ncr:1_{2E4A3213-17DE-431F-B84F-C5A9D6083B5C}" xr6:coauthVersionLast="47" xr6:coauthVersionMax="47" xr10:uidLastSave="{DCC128CE-0AC5-4605-A3E6-2C9BD5B798AC}"/>
  <bookViews>
    <workbookView xWindow="25490" yWindow="-110" windowWidth="38620" windowHeight="21100" xr2:uid="{00000000-000D-0000-FFFF-FFFF00000000}"/>
  </bookViews>
  <sheets>
    <sheet name="PORTADA" sheetId="1" r:id="rId1"/>
    <sheet name="DEFAULTS" sheetId="2" r:id="rId2"/>
    <sheet name="SCENARIOS" sheetId="3" r:id="rId3"/>
    <sheet name="INPUTS" sheetId="4" r:id="rId4"/>
    <sheet name="CAPEX_DET" sheetId="5" r:id="rId5"/>
    <sheet name="OPEX_DET" sheetId="6" r:id="rId6"/>
    <sheet name="CF_MODEL" sheetId="7" r:id="rId7"/>
    <sheet name="INDICADORES" sheetId="8" r:id="rId8"/>
    <sheet name="SENS" sheetId="9" r:id="rId9"/>
    <sheet name="DASHBOARD" sheetId="10" r:id="rId10"/>
    <sheet name="MAPEO_LATEX" sheetId="11" r:id="rId11"/>
    <sheet name="DICCIONARIO_DATOS" sheetId="12" r:id="rId12"/>
    <sheet name="AUDITORIA" sheetId="13" r:id="rId13"/>
  </sheets>
  <definedNames>
    <definedName name="AhorroBase">OPEX_DET!$D$15</definedName>
    <definedName name="CAPEX_BASE">CAPEX_DET!$G$36</definedName>
    <definedName name="CAPEX_MULT">INPUTS!$B$30</definedName>
    <definedName name="CAPEX_TOTAL">CAPEX_DET!$G$100</definedName>
    <definedName name="CargaKW">INPUTS!$B$22</definedName>
    <definedName name="COP">INPUTS!$B$23</definedName>
    <definedName name="EscOPEX">INPUTS!$B$26</definedName>
    <definedName name="HorasAnio">INPUTS!$B$24</definedName>
    <definedName name="Horizonte">INPUTS!$B$10</definedName>
    <definedName name="Inflacion">INPUTS!$B$15</definedName>
    <definedName name="PrecioElec">INPUTS!$B$25</definedName>
    <definedName name="ResetOn">INPUTS!$F$4</definedName>
    <definedName name="ResetSwitch">INPUTS!$B$4</definedName>
    <definedName name="SCEN_CAPEX_MULT">SCENARIOS!$B$4:$B$6</definedName>
    <definedName name="SCEN_ESCALO">SCENARIOS!$C$4:$C$6</definedName>
    <definedName name="SCEN_NAMES">SCENARIOS!$A$4:$A$6</definedName>
    <definedName name="SCEN_VALRES">SCENARIOS!$E$4:$E$6</definedName>
    <definedName name="SCEN_WACC">SCENARIOS!$D$4:$D$6</definedName>
    <definedName name="ScenarioSel">INPUTS!$B$6</definedName>
    <definedName name="TasaImpuesto">INPUTS!$B$16</definedName>
    <definedName name="TIR_OBJ">INPUTS!$B$18</definedName>
    <definedName name="ValorResidualPct">INPUTS!$B$17</definedName>
    <definedName name="WACC">INPUTS!$B$14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0" l="1"/>
  <c r="D6" i="10"/>
  <c r="B14" i="8"/>
  <c r="D14" i="6"/>
  <c r="D13" i="6"/>
  <c r="D12" i="6"/>
  <c r="D11" i="6"/>
  <c r="D10" i="6"/>
  <c r="D9" i="6"/>
  <c r="D8" i="6"/>
  <c r="D7" i="6"/>
  <c r="D6" i="6"/>
  <c r="D5" i="6"/>
  <c r="D4" i="6"/>
  <c r="D3" i="6"/>
  <c r="D2" i="6"/>
  <c r="D15" i="6" s="1"/>
  <c r="D31" i="5"/>
  <c r="G31" i="5" s="1"/>
  <c r="D30" i="5"/>
  <c r="G30" i="5" s="1"/>
  <c r="D29" i="5"/>
  <c r="G29" i="5" s="1"/>
  <c r="D28" i="5"/>
  <c r="G28" i="5" s="1"/>
  <c r="D27" i="5"/>
  <c r="G27" i="5" s="1"/>
  <c r="D25" i="5"/>
  <c r="D24" i="5"/>
  <c r="G24" i="5" s="1"/>
  <c r="G23" i="5"/>
  <c r="D23" i="5"/>
  <c r="D22" i="5"/>
  <c r="D20" i="5"/>
  <c r="G20" i="5" s="1"/>
  <c r="D19" i="5"/>
  <c r="G19" i="5" s="1"/>
  <c r="D18" i="5"/>
  <c r="G18" i="5" s="1"/>
  <c r="D17" i="5"/>
  <c r="G17" i="5" s="1"/>
  <c r="D15" i="5"/>
  <c r="G15" i="5" s="1"/>
  <c r="G14" i="5"/>
  <c r="D14" i="5"/>
  <c r="D13" i="5"/>
  <c r="G13" i="5" s="1"/>
  <c r="G12" i="5"/>
  <c r="D12" i="5"/>
  <c r="D10" i="5"/>
  <c r="G10" i="5" s="1"/>
  <c r="D9" i="5"/>
  <c r="G9" i="5" s="1"/>
  <c r="D8" i="5"/>
  <c r="G8" i="5" s="1"/>
  <c r="D7" i="5"/>
  <c r="G7" i="5" s="1"/>
  <c r="D6" i="5"/>
  <c r="D5" i="5"/>
  <c r="G5" i="5" s="1"/>
  <c r="D3" i="5"/>
  <c r="C30" i="4"/>
  <c r="C26" i="4"/>
  <c r="C25" i="4"/>
  <c r="C24" i="4"/>
  <c r="B24" i="4"/>
  <c r="C23" i="4"/>
  <c r="B23" i="4"/>
  <c r="C22" i="4"/>
  <c r="C18" i="4"/>
  <c r="C17" i="4"/>
  <c r="C16" i="4"/>
  <c r="C15" i="4"/>
  <c r="C14" i="4"/>
  <c r="C10" i="4"/>
  <c r="B10" i="4"/>
  <c r="F4" i="4"/>
  <c r="B25" i="4" s="1"/>
  <c r="E3" i="5" l="1"/>
  <c r="E18" i="5"/>
  <c r="E19" i="5"/>
  <c r="E20" i="5"/>
  <c r="E22" i="5"/>
  <c r="E23" i="5"/>
  <c r="E25" i="5"/>
  <c r="C8" i="9"/>
  <c r="B13" i="8"/>
  <c r="C11" i="9"/>
  <c r="C5" i="7"/>
  <c r="C10" i="9"/>
  <c r="C9" i="9"/>
  <c r="E15" i="5"/>
  <c r="G22" i="5"/>
  <c r="G6" i="5"/>
  <c r="G25" i="5"/>
  <c r="B15" i="4"/>
  <c r="E8" i="5"/>
  <c r="E28" i="5"/>
  <c r="B16" i="4"/>
  <c r="B30" i="4"/>
  <c r="B15" i="8" s="1"/>
  <c r="B17" i="4"/>
  <c r="F6" i="10" s="1"/>
  <c r="E9" i="5"/>
  <c r="E29" i="5"/>
  <c r="B26" i="4"/>
  <c r="G6" i="10" s="1"/>
  <c r="E14" i="5"/>
  <c r="E17" i="5"/>
  <c r="B18" i="4"/>
  <c r="B7" i="8" s="1"/>
  <c r="B17" i="10" s="1"/>
  <c r="E10" i="5"/>
  <c r="E30" i="5"/>
  <c r="B22" i="4"/>
  <c r="E5" i="5"/>
  <c r="E24" i="5"/>
  <c r="E6" i="5"/>
  <c r="E12" i="5"/>
  <c r="E31" i="5"/>
  <c r="E13" i="5"/>
  <c r="B14" i="4"/>
  <c r="E7" i="5"/>
  <c r="E27" i="5"/>
  <c r="D10" i="9" l="1"/>
  <c r="D9" i="9"/>
  <c r="C7" i="7"/>
  <c r="C9" i="7" s="1"/>
  <c r="D5" i="7"/>
  <c r="D11" i="9"/>
  <c r="D8" i="9"/>
  <c r="E8" i="9" l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C12" i="9"/>
  <c r="D12" i="9" s="1"/>
  <c r="E12" i="9" s="1"/>
  <c r="F12" i="9" s="1"/>
  <c r="G12" i="9" s="1"/>
  <c r="H12" i="9" s="1"/>
  <c r="I12" i="9" s="1"/>
  <c r="J12" i="9" s="1"/>
  <c r="K12" i="9" s="1"/>
  <c r="L12" i="9" s="1"/>
  <c r="M12" i="9" s="1"/>
  <c r="N12" i="9" s="1"/>
  <c r="O12" i="9" s="1"/>
  <c r="P12" i="9" s="1"/>
  <c r="E11" i="9"/>
  <c r="F11" i="9" s="1"/>
  <c r="G11" i="9" s="1"/>
  <c r="H11" i="9" s="1"/>
  <c r="I11" i="9" s="1"/>
  <c r="J11" i="9" s="1"/>
  <c r="K11" i="9" s="1"/>
  <c r="L11" i="9" s="1"/>
  <c r="M11" i="9" s="1"/>
  <c r="N11" i="9" s="1"/>
  <c r="O11" i="9" s="1"/>
  <c r="P11" i="9" s="1"/>
  <c r="C15" i="9"/>
  <c r="D7" i="7"/>
  <c r="D9" i="7" s="1"/>
  <c r="E5" i="7"/>
  <c r="E9" i="9"/>
  <c r="F9" i="9" s="1"/>
  <c r="G9" i="9" s="1"/>
  <c r="H9" i="9" s="1"/>
  <c r="I9" i="9" s="1"/>
  <c r="J9" i="9" s="1"/>
  <c r="K9" i="9" s="1"/>
  <c r="L9" i="9" s="1"/>
  <c r="M9" i="9" s="1"/>
  <c r="N9" i="9" s="1"/>
  <c r="O9" i="9" s="1"/>
  <c r="P9" i="9" s="1"/>
  <c r="C13" i="9"/>
  <c r="D13" i="9" s="1"/>
  <c r="E13" i="9" s="1"/>
  <c r="F13" i="9" s="1"/>
  <c r="G13" i="9" s="1"/>
  <c r="H13" i="9" s="1"/>
  <c r="I13" i="9" s="1"/>
  <c r="J13" i="9" s="1"/>
  <c r="K13" i="9" s="1"/>
  <c r="L13" i="9" s="1"/>
  <c r="M13" i="9" s="1"/>
  <c r="N13" i="9" s="1"/>
  <c r="O13" i="9" s="1"/>
  <c r="P13" i="9" s="1"/>
  <c r="E10" i="9"/>
  <c r="F10" i="9" s="1"/>
  <c r="G10" i="9" s="1"/>
  <c r="H10" i="9" s="1"/>
  <c r="I10" i="9" s="1"/>
  <c r="J10" i="9" s="1"/>
  <c r="K10" i="9" s="1"/>
  <c r="L10" i="9" s="1"/>
  <c r="M10" i="9" s="1"/>
  <c r="N10" i="9" s="1"/>
  <c r="O10" i="9" s="1"/>
  <c r="P10" i="9" s="1"/>
  <c r="C14" i="9"/>
  <c r="D14" i="9" s="1"/>
  <c r="E14" i="9" s="1"/>
  <c r="F14" i="9" s="1"/>
  <c r="G14" i="9" s="1"/>
  <c r="H14" i="9" s="1"/>
  <c r="I14" i="9" s="1"/>
  <c r="J14" i="9" s="1"/>
  <c r="K14" i="9" s="1"/>
  <c r="L14" i="9" s="1"/>
  <c r="M14" i="9" s="1"/>
  <c r="N14" i="9" s="1"/>
  <c r="O14" i="9" s="1"/>
  <c r="P14" i="9" s="1"/>
  <c r="E7" i="7" l="1"/>
  <c r="E9" i="7" s="1"/>
  <c r="F5" i="7"/>
  <c r="D15" i="9"/>
  <c r="E15" i="9" s="1"/>
  <c r="F15" i="9" s="1"/>
  <c r="G15" i="9" s="1"/>
  <c r="H15" i="9" s="1"/>
  <c r="I15" i="9" s="1"/>
  <c r="J15" i="9" s="1"/>
  <c r="K15" i="9" s="1"/>
  <c r="L15" i="9" s="1"/>
  <c r="M15" i="9" s="1"/>
  <c r="N15" i="9" s="1"/>
  <c r="O15" i="9" s="1"/>
  <c r="P15" i="9" s="1"/>
  <c r="F7" i="7" l="1"/>
  <c r="F9" i="7" s="1"/>
  <c r="G5" i="7"/>
  <c r="G7" i="7" l="1"/>
  <c r="H5" i="7"/>
  <c r="H7" i="7" l="1"/>
  <c r="H9" i="7" s="1"/>
  <c r="I5" i="7"/>
  <c r="G9" i="7"/>
  <c r="I7" i="7" l="1"/>
  <c r="J5" i="7"/>
  <c r="J7" i="7" l="1"/>
  <c r="J9" i="7" s="1"/>
  <c r="K5" i="7"/>
  <c r="I9" i="7"/>
  <c r="K7" i="7" l="1"/>
  <c r="L5" i="7"/>
  <c r="L7" i="7" l="1"/>
  <c r="L9" i="7" s="1"/>
  <c r="M5" i="7"/>
  <c r="K9" i="7"/>
  <c r="M7" i="7" l="1"/>
  <c r="N5" i="7"/>
  <c r="M9" i="7" l="1"/>
  <c r="N7" i="7"/>
  <c r="N9" i="7" s="1"/>
  <c r="O5" i="7"/>
  <c r="O7" i="7" l="1"/>
  <c r="O9" i="7" s="1"/>
  <c r="P5" i="7"/>
  <c r="P7" i="7" l="1"/>
  <c r="P9" i="7" s="1"/>
  <c r="Q5" i="7"/>
  <c r="G3" i="5"/>
  <c r="G33" i="5"/>
  <c r="G34" i="5" s="1"/>
  <c r="G35" i="5" l="1"/>
  <c r="G36" i="5" s="1"/>
  <c r="B11" i="8" l="1"/>
  <c r="G100" i="5"/>
  <c r="B15" i="9" l="1"/>
  <c r="Q9" i="9"/>
  <c r="B12" i="9"/>
  <c r="Q15" i="9"/>
  <c r="B8" i="9"/>
  <c r="Q6" i="7"/>
  <c r="Q7" i="7" s="1"/>
  <c r="Q9" i="7" s="1"/>
  <c r="Q10" i="9"/>
  <c r="Q14" i="9"/>
  <c r="B9" i="9"/>
  <c r="B13" i="9"/>
  <c r="Q8" i="9"/>
  <c r="Q11" i="9"/>
  <c r="B11" i="9"/>
  <c r="B12" i="8"/>
  <c r="H11" i="10" s="1"/>
  <c r="B10" i="9"/>
  <c r="B4" i="7"/>
  <c r="B7" i="7" s="1"/>
  <c r="B14" i="9"/>
  <c r="Q13" i="9"/>
  <c r="Q12" i="9"/>
  <c r="S11" i="9" l="1"/>
  <c r="T11" i="9"/>
  <c r="S9" i="9"/>
  <c r="T9" i="9"/>
  <c r="T12" i="9"/>
  <c r="S12" i="9"/>
  <c r="B9" i="7"/>
  <c r="B14" i="7"/>
  <c r="B5" i="8" s="1"/>
  <c r="T10" i="9"/>
  <c r="S10" i="9"/>
  <c r="S13" i="9"/>
  <c r="T13" i="9"/>
  <c r="T8" i="9"/>
  <c r="S8" i="9"/>
  <c r="S14" i="9"/>
  <c r="T14" i="9"/>
  <c r="T15" i="9"/>
  <c r="S15" i="9"/>
  <c r="D11" i="10" l="1"/>
  <c r="B8" i="8"/>
  <c r="D17" i="10" s="1"/>
  <c r="B10" i="7"/>
  <c r="B13" i="7"/>
  <c r="B4" i="8" s="1"/>
  <c r="Z2" i="9" l="1"/>
  <c r="B11" i="10"/>
  <c r="B15" i="7"/>
  <c r="B6" i="8" s="1"/>
  <c r="F11" i="10" s="1"/>
  <c r="C10" i="7"/>
  <c r="D10" i="7" s="1"/>
  <c r="E10" i="7" s="1"/>
  <c r="F10" i="7" s="1"/>
  <c r="G10" i="7" s="1"/>
  <c r="H10" i="7" s="1"/>
  <c r="I10" i="7" s="1"/>
  <c r="J10" i="7" s="1"/>
  <c r="K10" i="7" s="1"/>
  <c r="L10" i="7" s="1"/>
  <c r="M10" i="7" s="1"/>
  <c r="N10" i="7" s="1"/>
  <c r="O10" i="7" s="1"/>
  <c r="P10" i="7" s="1"/>
  <c r="Q10" i="7" s="1"/>
  <c r="B22" i="9" l="1"/>
  <c r="B19" i="9"/>
  <c r="C21" i="9"/>
  <c r="B20" i="9"/>
  <c r="B21" i="9"/>
  <c r="C19" i="9"/>
  <c r="C20" i="9"/>
  <c r="C22" i="9"/>
</calcChain>
</file>

<file path=xl/sharedStrings.xml><?xml version="1.0" encoding="utf-8"?>
<sst xmlns="http://schemas.openxmlformats.org/spreadsheetml/2006/main" count="275" uniqueCount="221">
  <si>
    <t>ESTUDIO TÉCNICO-ECONÓMICO – SISTEMA DE BOMBA DE CALOR TRANSCRÍTICA CO₂</t>
  </si>
  <si>
    <t>Metadatos</t>
  </si>
  <si>
    <t>Campo</t>
  </si>
  <si>
    <t>Valor</t>
  </si>
  <si>
    <t>Documento</t>
  </si>
  <si>
    <t>W2501PRINF005REV1 - VALORES CORREGIDOS</t>
  </si>
  <si>
    <t>Preparado por</t>
  </si>
  <si>
    <t>E3PRO Engineering Solutions</t>
  </si>
  <si>
    <t>Cliente</t>
  </si>
  <si>
    <t>Laboratorios BAXTER S.A.</t>
  </si>
  <si>
    <t>Ubicación</t>
  </si>
  <si>
    <t>Planta Cali, Colombia</t>
  </si>
  <si>
    <t>Fecha</t>
  </si>
  <si>
    <t>2025-09-03</t>
  </si>
  <si>
    <t>Revisión</t>
  </si>
  <si>
    <t>01 - VALORES CORREGIDOS</t>
  </si>
  <si>
    <t>Estado</t>
  </si>
  <si>
    <t>Para Aprobación</t>
  </si>
  <si>
    <t>Clasificación</t>
  </si>
  <si>
    <t>Confidencial - Uso Interno</t>
  </si>
  <si>
    <t>Valores por defecto del estudio (para RESET)</t>
  </si>
  <si>
    <t>Variable</t>
  </si>
  <si>
    <t>Horizonte (años)</t>
  </si>
  <si>
    <t>WACC (tasa descuento nominal)</t>
  </si>
  <si>
    <t>Inflación anual esperada</t>
  </si>
  <si>
    <t>Tasa de impuesto efectiva</t>
  </si>
  <si>
    <t>Valor residual sobre CAPEX</t>
  </si>
  <si>
    <t>Carga térmica de diseño (kW)</t>
  </si>
  <si>
    <t>COP conservador (adim.)</t>
  </si>
  <si>
    <t>Horas/año</t>
  </si>
  <si>
    <t>Precio electricidad (USD/kWh)</t>
  </si>
  <si>
    <t>Escalamiento anual ahorro (%)</t>
  </si>
  <si>
    <t>TIR objetivo (%)</t>
  </si>
  <si>
    <t>Perfiles de escenario</t>
  </si>
  <si>
    <t>Escenario</t>
  </si>
  <si>
    <t>CAPEX Mult</t>
  </si>
  <si>
    <t>Escalamiento ahorro</t>
  </si>
  <si>
    <t>WACC</t>
  </si>
  <si>
    <t>Valor Residual</t>
  </si>
  <si>
    <t>Pesimista</t>
  </si>
  <si>
    <t>Base</t>
  </si>
  <si>
    <t>Optimista</t>
  </si>
  <si>
    <t>Parámetros – RESET + Escenarios (sin macros)</t>
  </si>
  <si>
    <t>Resetear a valores del estudio</t>
  </si>
  <si>
    <t>(Elige 'Sí' para forzar valores default)</t>
  </si>
  <si>
    <t>No</t>
  </si>
  <si>
    <t>Helpers</t>
  </si>
  <si>
    <t>ResetOn (1/0)</t>
  </si>
  <si>
    <t>Seleccionado</t>
  </si>
  <si>
    <t>(Elige escenario o '(Manual)')</t>
  </si>
  <si>
    <t>Generales</t>
  </si>
  <si>
    <t>Valor (dinámico)</t>
  </si>
  <si>
    <t>Manual</t>
  </si>
  <si>
    <t>Notas</t>
  </si>
  <si>
    <t>Unidad: años</t>
  </si>
  <si>
    <t>Parámetros financieros</t>
  </si>
  <si>
    <t>Unidad: %</t>
  </si>
  <si>
    <t>Parámetros operativos y energéticos</t>
  </si>
  <si>
    <t>Unidad: kW</t>
  </si>
  <si>
    <t>Unidad: adim.</t>
  </si>
  <si>
    <t>Unidad: h</t>
  </si>
  <si>
    <t>Unidad: USD/kWh</t>
  </si>
  <si>
    <t>Ajustes por escenario</t>
  </si>
  <si>
    <t>Multiplicador CAPEX (x)</t>
  </si>
  <si>
    <t>Unidad: –</t>
  </si>
  <si>
    <t>Concepto</t>
  </si>
  <si>
    <t>Cantidad</t>
  </si>
  <si>
    <t>Costo Unit.</t>
  </si>
  <si>
    <t>Costo Total</t>
  </si>
  <si>
    <t>% Total</t>
  </si>
  <si>
    <t>% Δ Partida</t>
  </si>
  <si>
    <t>Total Ajustado</t>
  </si>
  <si>
    <t>EQUIPOS PRINCIPALES</t>
  </si>
  <si>
    <t>Sistema bomba calor completo</t>
  </si>
  <si>
    <t>INSTRUMENTACIÓN Y CONTROL</t>
  </si>
  <si>
    <t>PLC Siemens S7-1500</t>
  </si>
  <si>
    <t>SCADA WinCC + 21 CFR Part 11</t>
  </si>
  <si>
    <t>Sensores temperatura (10×)</t>
  </si>
  <si>
    <t>Caudalímetros certificados (3×)</t>
  </si>
  <si>
    <t>Transductores presión SIL2 (4×)</t>
  </si>
  <si>
    <t>Analizadores calidad agua (2×)</t>
  </si>
  <si>
    <t>SISTEMAS AUXILIARES</t>
  </si>
  <si>
    <t>Tuberías AISI 316L (120 m)</t>
  </si>
  <si>
    <t>Válvulas sanitarias (15×)</t>
  </si>
  <si>
    <t>Conexiones ASME BPE</t>
  </si>
  <si>
    <t>Aislamiento térmico</t>
  </si>
  <si>
    <t>INGENIERÍA</t>
  </si>
  <si>
    <t>Ingeniería conceptual (240 h)</t>
  </si>
  <si>
    <t>Ingeniería básica (680 h)</t>
  </si>
  <si>
    <t>Ingeniería de detalle (1,200 h)</t>
  </si>
  <si>
    <t>Gestión de proyecto</t>
  </si>
  <si>
    <t>INSTALACIÓN</t>
  </si>
  <si>
    <t>Obra civil</t>
  </si>
  <si>
    <t>Instalación mecánica</t>
  </si>
  <si>
    <t>Instalación eléctrica</t>
  </si>
  <si>
    <t>Integración hidráulica</t>
  </si>
  <si>
    <t>VALIDACIÓN</t>
  </si>
  <si>
    <t>Commissioning</t>
  </si>
  <si>
    <t>Validación IQ/OQ/PQ</t>
  </si>
  <si>
    <t>Mapeo térmico</t>
  </si>
  <si>
    <t>Capacitación técnica</t>
  </si>
  <si>
    <t>Soporte primer año</t>
  </si>
  <si>
    <t>Subtotal</t>
  </si>
  <si>
    <t>Contingencia técnica (%)</t>
  </si>
  <si>
    <t>Escalación precios (%)</t>
  </si>
  <si>
    <t>TOTAL CAPEX (ajustado, sin escenario)</t>
  </si>
  <si>
    <t>TOTAL CAPEX (con escenario)</t>
  </si>
  <si>
    <t>Sistema Vapor (USD/año)</t>
  </si>
  <si>
    <t>Bomba Calor (USD/año)</t>
  </si>
  <si>
    <t>Ahorro (USD/año)</t>
  </si>
  <si>
    <t>Escalador anual (%)</t>
  </si>
  <si>
    <t>Costo energía</t>
  </si>
  <si>
    <t>Preventivo</t>
  </si>
  <si>
    <t>Correctivo</t>
  </si>
  <si>
    <t>Inspecciones</t>
  </si>
  <si>
    <t>Químicos caldera</t>
  </si>
  <si>
    <t>Agua WFI reposición</t>
  </si>
  <si>
    <t>Análisis calidad</t>
  </si>
  <si>
    <t>Operador especializado</t>
  </si>
  <si>
    <t>Supervisión</t>
  </si>
  <si>
    <t>Seguros</t>
  </si>
  <si>
    <t>Certificaciones</t>
  </si>
  <si>
    <t>Emisiones CO2</t>
  </si>
  <si>
    <t>Gestión residuos</t>
  </si>
  <si>
    <t>TOTAL OPEX (Ahorro año 1)</t>
  </si>
  <si>
    <t>Flujo de caja (años 0..N)</t>
  </si>
  <si>
    <t>CAPEX (negativo en t=0)</t>
  </si>
  <si>
    <t>Ahorro OPEX (crece %/año)</t>
  </si>
  <si>
    <t>Valor residual (año final)</t>
  </si>
  <si>
    <t>Flujo de Caja (FC)</t>
  </si>
  <si>
    <t>FC Descontado</t>
  </si>
  <si>
    <t>FC Acum. Descontado</t>
  </si>
  <si>
    <t>VPN (suma de FC descontados)</t>
  </si>
  <si>
    <t>TIR (IRR sobre FC)</t>
  </si>
  <si>
    <t>Payback (años, descontado)</t>
  </si>
  <si>
    <t>Indicadores financieros</t>
  </si>
  <si>
    <t>KPI</t>
  </si>
  <si>
    <t>VPN (NPV)</t>
  </si>
  <si>
    <t>TIR (IRR)</t>
  </si>
  <si>
    <t>Payback descontado (años)</t>
  </si>
  <si>
    <t>Relación TIR / Objetivo</t>
  </si>
  <si>
    <t>Resumen</t>
  </si>
  <si>
    <t>CAPEX base (sin escenario)</t>
  </si>
  <si>
    <t>CAPEX total (con escenario)</t>
  </si>
  <si>
    <t>Ahorro OPEX año 1</t>
  </si>
  <si>
    <t>Escenario activo</t>
  </si>
  <si>
    <t>Multiplicador CAPEX</t>
  </si>
  <si>
    <t>Sensibilidad de VPN/TIR (±25%)</t>
  </si>
  <si>
    <t>Nivel</t>
  </si>
  <si>
    <t>CAPEX_mult</t>
  </si>
  <si>
    <t>Ahorro_mult</t>
  </si>
  <si>
    <t>WACC_mult</t>
  </si>
  <si>
    <t>Esc_mult</t>
  </si>
  <si>
    <t>CAPEX</t>
  </si>
  <si>
    <t>Bajo</t>
  </si>
  <si>
    <t>Alto</t>
  </si>
  <si>
    <t>Ahorro</t>
  </si>
  <si>
    <t>EscOPEX</t>
  </si>
  <si>
    <t>(Modelos por caso → IRR/NPV)</t>
  </si>
  <si>
    <t>t</t>
  </si>
  <si>
    <t>IRR</t>
  </si>
  <si>
    <t>NPV</t>
  </si>
  <si>
    <t>Resumen (∆VPN vs Base)</t>
  </si>
  <si>
    <t>Low ∆NPV</t>
  </si>
  <si>
    <t>High ∆NPV</t>
  </si>
  <si>
    <t>Dashboard – Bomba de calor CO₂ (v6.6.2)</t>
  </si>
  <si>
    <t>Controles</t>
  </si>
  <si>
    <t>Reset a valores del estudio</t>
  </si>
  <si>
    <t>Valor residual (%)</t>
  </si>
  <si>
    <t>Escalamiento ahorro (%)</t>
  </si>
  <si>
    <t>INPUTS!B4</t>
  </si>
  <si>
    <t>KPIs</t>
  </si>
  <si>
    <t>TIR</t>
  </si>
  <si>
    <t>Payback (desc.)</t>
  </si>
  <si>
    <t>CAPEX ajustado</t>
  </si>
  <si>
    <t>TIR objetivo / Estado</t>
  </si>
  <si>
    <t>TIR objetivo</t>
  </si>
  <si>
    <t>Estado TIR</t>
  </si>
  <si>
    <t>Gráficos</t>
  </si>
  <si>
    <t>Sensibilidad (ΔVPN)</t>
  </si>
  <si>
    <t>Mapeo de tablas del estudio LaTeX → rangos en Excel</t>
  </si>
  <si>
    <t>Fuente (LaTeX)</t>
  </si>
  <si>
    <t>Rango Excel</t>
  </si>
  <si>
    <t>Diccionario de datos</t>
  </si>
  <si>
    <t>Nombre</t>
  </si>
  <si>
    <t>Definición / Unidades</t>
  </si>
  <si>
    <t>ResetSwitch</t>
  </si>
  <si>
    <t>Conmutador Sí/No que fuerza valores de DEFAULTS en INPUTS</t>
  </si>
  <si>
    <t>ResetOn</t>
  </si>
  <si>
    <t>Helper 1/0 derivado de ResetSwitch</t>
  </si>
  <si>
    <t>ScenarioSel</t>
  </si>
  <si>
    <t>Escenario activo (Manual/Pesimista/Base/Optimista)</t>
  </si>
  <si>
    <t>CAPEX_MULT</t>
  </si>
  <si>
    <t>Multiplicador global de CAPEX según escenario</t>
  </si>
  <si>
    <t>CAPEX_BASE</t>
  </si>
  <si>
    <t>CAPEX ajustado sin escenario (CAPEX_DET)</t>
  </si>
  <si>
    <t>CAPEX_TOTAL</t>
  </si>
  <si>
    <t>CAPEX total con escenario</t>
  </si>
  <si>
    <t>AhorroBase</t>
  </si>
  <si>
    <t>Suma dinámica de 'Ahorro (USD/año)' en OPEX_DET</t>
  </si>
  <si>
    <t>Escalamiento anual del ahorro OPEX</t>
  </si>
  <si>
    <t>Tasa de descuento nominal</t>
  </si>
  <si>
    <t>ValorResidualPct</t>
  </si>
  <si>
    <t>% del CAPEX al final del horizonte</t>
  </si>
  <si>
    <t>TIR_OBJ</t>
  </si>
  <si>
    <t>Objetivo para semáforo de TIR</t>
  </si>
  <si>
    <t>Auditoría y control de versiones</t>
  </si>
  <si>
    <t>Versión</t>
  </si>
  <si>
    <t>2025-09-03 12:42</t>
  </si>
  <si>
    <t>v6.6.2</t>
  </si>
  <si>
    <t>Recreado completo; enlaces alternos.</t>
  </si>
  <si>
    <t>CAPEX detallado (corregido)</t>
  </si>
  <si>
    <t>CAPEX_DET!A1:G36</t>
  </si>
  <si>
    <t>OPEX comparativo (corregido)</t>
  </si>
  <si>
    <t>OPEX_DET!A1:E15</t>
  </si>
  <si>
    <t>Métricas (VPN/TIR)</t>
  </si>
  <si>
    <t>INDICADORES!A3:B15</t>
  </si>
  <si>
    <t>Flujos de caja</t>
  </si>
  <si>
    <t>CF_MODEL!A1:Q10</t>
  </si>
  <si>
    <t>Sensibilidad (casos)</t>
  </si>
  <si>
    <t>SENS!A3:T15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</si>
</sst>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$&quot;#,##0"/>
    <numFmt numFmtId="166" formatCode="&quot;$&quot;#,##0.00"/>
    <numFmt numFmtId="167" formatCode="0.0%"/>
  </numFmts>
  <fonts count="10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4"/>
      <color rgb="FF1F4E79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5A5A5A"/>
      <name val="Calibri"/>
      <family val="2"/>
      <scheme val="minor"/>
    </font>
    <font>
      <u/>
      <sz val="11"/>
      <color theme="10"/>
      <name val="Calibri"/>
      <family val="2"/>
    </font>
    <font>
      <b/>
      <sz val="10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EFF7"/>
        <bgColor indexed="64"/>
      </patternFill>
    </fill>
    <fill>
      <patternFill patternType="solid">
        <fgColor rgb="FFE8EEF7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/>
    <xf numFmtId="0" fontId="2" fillId="0" borderId="0" xfId="0" applyFont="1"/>
    <xf numFmtId="0" fontId="3" fillId="3" borderId="1" xfId="0" applyFont="1" applyFill="1" applyBorder="1"/>
    <xf numFmtId="3" fontId="0" fillId="0" borderId="0" xfId="0" applyNumberFormat="1"/>
    <xf numFmtId="10" fontId="0" fillId="0" borderId="0" xfId="0" applyNumberFormat="1"/>
    <xf numFmtId="4" fontId="0" fillId="0" borderId="0" xfId="0" applyNumberFormat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6" fillId="0" borderId="0" xfId="0" applyFon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4" borderId="0" xfId="0" applyFont="1" applyFill="1"/>
    <xf numFmtId="0" fontId="1" fillId="2" borderId="0" xfId="0" applyFont="1" applyFill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167" fontId="9" fillId="2" borderId="0" xfId="0" applyNumberFormat="1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7" fillId="0" borderId="0" xfId="1" applyAlignment="1" applyProtection="1"/>
    <xf numFmtId="0" fontId="3" fillId="5" borderId="1" xfId="0" applyFont="1" applyFill="1" applyBorder="1" applyAlignment="1">
      <alignment horizontal="center" vertical="center"/>
    </xf>
    <xf numFmtId="165" fontId="9" fillId="2" borderId="0" xfId="0" applyNumberFormat="1" applyFont="1" applyFill="1" applyAlignment="1">
      <alignment horizontal="center" vertical="center"/>
    </xf>
    <xf numFmtId="1" fontId="9" fillId="2" borderId="0" xfId="0" applyNumberFormat="1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Ahorro OPEX por año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Ahorro OPEX</c:v>
          </c:tx>
          <c:invertIfNegative val="0"/>
          <c:cat>
            <c:numRef>
              <c:f>CF_MODEL!$C$3:$Q$3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CF_MODEL!$C$5:$Q$5</c:f>
              <c:numCache>
                <c:formatCode>"$"#,##0</c:formatCode>
                <c:ptCount val="15"/>
                <c:pt idx="0">
                  <c:v>98598</c:v>
                </c:pt>
                <c:pt idx="1">
                  <c:v>103527.90000000001</c:v>
                </c:pt>
                <c:pt idx="2">
                  <c:v>108704.29500000001</c:v>
                </c:pt>
                <c:pt idx="3">
                  <c:v>114139.50975000001</c:v>
                </c:pt>
                <c:pt idx="4">
                  <c:v>119846.48523750002</c:v>
                </c:pt>
                <c:pt idx="5">
                  <c:v>125838.80949937503</c:v>
                </c:pt>
                <c:pt idx="6">
                  <c:v>132130.74997434378</c:v>
                </c:pt>
                <c:pt idx="7">
                  <c:v>138737.28747306098</c:v>
                </c:pt>
                <c:pt idx="8">
                  <c:v>145674.15184671403</c:v>
                </c:pt>
                <c:pt idx="9">
                  <c:v>152957.85943904973</c:v>
                </c:pt>
                <c:pt idx="10">
                  <c:v>160605.75241100224</c:v>
                </c:pt>
                <c:pt idx="11">
                  <c:v>168636.04003155234</c:v>
                </c:pt>
                <c:pt idx="12">
                  <c:v>177067.84203312997</c:v>
                </c:pt>
                <c:pt idx="13">
                  <c:v>185921.23413478647</c:v>
                </c:pt>
                <c:pt idx="14">
                  <c:v>195217.2958415258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02-46FD-BD5F-347B15871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Año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USD/año</a:t>
                </a:r>
              </a:p>
            </c:rich>
          </c:tx>
          <c:overlay val="0"/>
        </c:title>
        <c:numFmt formatCode="&quot;$&quot;#,##0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Flujo descontado acumulado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FC acumulado (desc.)</c:v>
          </c:tx>
          <c:marker>
            <c:symbol val="none"/>
          </c:marker>
          <c:cat>
            <c:numRef>
              <c:f>CF_MODEL!$C$3:$Q$3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cat>
          <c:val>
            <c:numRef>
              <c:f>CF_MODEL!$C$10:$Q$10</c:f>
              <c:numCache>
                <c:formatCode>"$"#,##0</c:formatCode>
                <c:ptCount val="15"/>
                <c:pt idx="0">
                  <c:v>-499276.55555555556</c:v>
                </c:pt>
                <c:pt idx="1">
                  <c:v>-410518.06790123461</c:v>
                </c:pt>
                <c:pt idx="2">
                  <c:v>-324225.09379286697</c:v>
                </c:pt>
                <c:pt idx="3">
                  <c:v>-240329.14674306512</c:v>
                </c:pt>
                <c:pt idx="4">
                  <c:v>-158763.64266686887</c:v>
                </c:pt>
                <c:pt idx="5">
                  <c:v>-79463.847037233631</c:v>
                </c:pt>
                <c:pt idx="6">
                  <c:v>-2366.8235084215994</c:v>
                </c:pt>
                <c:pt idx="7">
                  <c:v>72588.616033478989</c:v>
                </c:pt>
                <c:pt idx="8">
                  <c:v>145461.96003254899</c:v>
                </c:pt>
                <c:pt idx="9">
                  <c:v>216311.0444760893</c:v>
                </c:pt>
                <c:pt idx="10">
                  <c:v>285192.09879619791</c:v>
                </c:pt>
                <c:pt idx="11">
                  <c:v>352159.79049630353</c:v>
                </c:pt>
                <c:pt idx="12">
                  <c:v>417267.26853807288</c:v>
                </c:pt>
                <c:pt idx="13">
                  <c:v>480566.20552312641</c:v>
                </c:pt>
                <c:pt idx="14">
                  <c:v>542106.83870303957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BE-4D19-966A-7DA5248C3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Año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USD (descontado)</a:t>
                </a:r>
              </a:p>
            </c:rich>
          </c:tx>
          <c:overlay val="0"/>
        </c:title>
        <c:numFmt formatCode="&quot;$&quot;#,##0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Tornado – ΔVPN (±25%)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Low</c:v>
          </c:tx>
          <c:invertIfNegative val="0"/>
          <c:cat>
            <c:strRef>
              <c:f>SENS!$A$19:$A$22</c:f>
              <c:strCache>
                <c:ptCount val="4"/>
                <c:pt idx="0">
                  <c:v>CAPEX</c:v>
                </c:pt>
                <c:pt idx="1">
                  <c:v>Ahorro</c:v>
                </c:pt>
                <c:pt idx="2">
                  <c:v>WACC</c:v>
                </c:pt>
                <c:pt idx="3">
                  <c:v>EscOPEX</c:v>
                </c:pt>
              </c:strCache>
            </c:strRef>
          </c:cat>
          <c:val>
            <c:numRef>
              <c:f>SENS!$B$19:$B$22</c:f>
              <c:numCache>
                <c:formatCode>"$"#,##0.00</c:formatCode>
                <c:ptCount val="4"/>
                <c:pt idx="0">
                  <c:v>147642.74999999988</c:v>
                </c:pt>
                <c:pt idx="1">
                  <c:v>-283169.45967576001</c:v>
                </c:pt>
                <c:pt idx="2">
                  <c:v>-58226253078.28965</c:v>
                </c:pt>
                <c:pt idx="3">
                  <c:v>-43668973215.645325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D-41FA-AA0F-DA701A597F63}"/>
            </c:ext>
          </c:extLst>
        </c:ser>
        <c:ser>
          <c:idx val="1"/>
          <c:order val="1"/>
          <c:tx>
            <c:v>High</c:v>
          </c:tx>
          <c:invertIfNegative val="0"/>
          <c:cat>
            <c:strRef>
              <c:f>SENS!$A$19:$A$22</c:f>
              <c:strCache>
                <c:ptCount val="4"/>
                <c:pt idx="0">
                  <c:v>CAPEX</c:v>
                </c:pt>
                <c:pt idx="1">
                  <c:v>Ahorro</c:v>
                </c:pt>
                <c:pt idx="2">
                  <c:v>WACC</c:v>
                </c:pt>
                <c:pt idx="3">
                  <c:v>EscOPEX</c:v>
                </c:pt>
              </c:strCache>
            </c:strRef>
          </c:cat>
          <c:val>
            <c:numRef>
              <c:f>SENS!$C$19:$C$22</c:f>
              <c:numCache>
                <c:formatCode>"$"#,##0.00</c:formatCode>
                <c:ptCount val="4"/>
                <c:pt idx="0">
                  <c:v>-147642.74999999988</c:v>
                </c:pt>
                <c:pt idx="1">
                  <c:v>782609.46940009925</c:v>
                </c:pt>
                <c:pt idx="2">
                  <c:v>-58226253078.28965</c:v>
                </c:pt>
                <c:pt idx="3">
                  <c:v>-116454727685.36168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DD-41FA-AA0F-DA701A597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ΔUSD</a:t>
                </a:r>
              </a:p>
            </c:rich>
          </c:tx>
          <c:overlay val="0"/>
        </c:title>
        <c:numFmt formatCode="&quot;$&quot;#,##0.00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3</xdr:col>
      <xdr:colOff>1714500</xdr:colOff>
      <xdr:row>35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20</xdr:row>
      <xdr:rowOff>0</xdr:rowOff>
    </xdr:from>
    <xdr:to>
      <xdr:col>7</xdr:col>
      <xdr:colOff>66675</xdr:colOff>
      <xdr:row>35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200025</xdr:colOff>
      <xdr:row>35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4"/>
  <sheetViews>
    <sheetView tabSelected="1" workbookViewId="0">
      <selection activeCell="J21" sqref="J21"/>
    </sheetView>
  </sheetViews>
  <sheetFormatPr baseColWidth="10" defaultColWidth="8.7109375" defaultRowHeight="15" x14ac:dyDescent="0.25"/>
  <cols>
    <col min="1" max="1" width="2.7109375" customWidth="1"/>
    <col min="2" max="3" width="44.7109375" customWidth="1"/>
  </cols>
  <sheetData>
    <row r="2" spans="2:3" ht="27.95" customHeight="1" x14ac:dyDescent="0.25"/>
    <row r="3" spans="2:3" ht="26.25" x14ac:dyDescent="0.25">
      <c r="B3" s="16" t="s">
        <v>0</v>
      </c>
      <c r="C3" s="16"/>
    </row>
    <row r="5" spans="2:3" ht="18.75" x14ac:dyDescent="0.3">
      <c r="B5" s="1" t="s">
        <v>1</v>
      </c>
    </row>
    <row r="6" spans="2:3" x14ac:dyDescent="0.25">
      <c r="B6" s="2" t="s">
        <v>2</v>
      </c>
      <c r="C6" s="2" t="s">
        <v>3</v>
      </c>
    </row>
    <row r="7" spans="2:3" x14ac:dyDescent="0.25">
      <c r="B7" t="s">
        <v>4</v>
      </c>
      <c r="C7" t="s">
        <v>5</v>
      </c>
    </row>
    <row r="8" spans="2:3" x14ac:dyDescent="0.25">
      <c r="B8" t="s">
        <v>6</v>
      </c>
      <c r="C8" t="s">
        <v>7</v>
      </c>
    </row>
    <row r="9" spans="2:3" x14ac:dyDescent="0.25">
      <c r="B9" t="s">
        <v>8</v>
      </c>
      <c r="C9" t="s">
        <v>9</v>
      </c>
    </row>
    <row r="10" spans="2:3" x14ac:dyDescent="0.25">
      <c r="B10" t="s">
        <v>10</v>
      </c>
      <c r="C10" t="s">
        <v>11</v>
      </c>
    </row>
    <row r="11" spans="2:3" x14ac:dyDescent="0.25">
      <c r="B11" t="s">
        <v>12</v>
      </c>
      <c r="C11" t="s">
        <v>13</v>
      </c>
    </row>
    <row r="12" spans="2:3" x14ac:dyDescent="0.25">
      <c r="B12" t="s">
        <v>14</v>
      </c>
      <c r="C12" t="s">
        <v>15</v>
      </c>
    </row>
    <row r="13" spans="2:3" x14ac:dyDescent="0.25">
      <c r="B13" t="s">
        <v>16</v>
      </c>
      <c r="C13" t="s">
        <v>17</v>
      </c>
    </row>
    <row r="14" spans="2:3" x14ac:dyDescent="0.25">
      <c r="B14" t="s">
        <v>18</v>
      </c>
      <c r="C14" t="s">
        <v>19</v>
      </c>
    </row>
  </sheetData>
  <mergeCells count="1">
    <mergeCell ref="B3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>
      <selection activeCell="K11" sqref="K11"/>
    </sheetView>
  </sheetViews>
  <sheetFormatPr baseColWidth="10" defaultColWidth="8.7109375" defaultRowHeight="15" x14ac:dyDescent="0.25"/>
  <cols>
    <col min="1" max="1" width="34.7109375" customWidth="1"/>
    <col min="2" max="2" width="22.7109375" customWidth="1"/>
  </cols>
  <sheetData>
    <row r="1" spans="1:2" ht="18.75" x14ac:dyDescent="0.3">
      <c r="A1" s="1" t="s">
        <v>20</v>
      </c>
    </row>
    <row r="3" spans="1:2" x14ac:dyDescent="0.25">
      <c r="A3" s="2" t="s">
        <v>21</v>
      </c>
      <c r="B3" s="2" t="s">
        <v>3</v>
      </c>
    </row>
    <row r="4" spans="1:2" x14ac:dyDescent="0.25">
      <c r="A4" t="s">
        <v>22</v>
      </c>
      <c r="B4" s="3">
        <v>15</v>
      </c>
    </row>
    <row r="5" spans="1:2" x14ac:dyDescent="0.25">
      <c r="A5" t="s">
        <v>23</v>
      </c>
      <c r="B5" s="4">
        <v>0.08</v>
      </c>
    </row>
    <row r="6" spans="1:2" x14ac:dyDescent="0.25">
      <c r="A6" t="s">
        <v>24</v>
      </c>
      <c r="B6" s="4">
        <v>0.05</v>
      </c>
    </row>
    <row r="7" spans="1:2" x14ac:dyDescent="0.25">
      <c r="A7" t="s">
        <v>25</v>
      </c>
      <c r="B7" s="5">
        <v>0</v>
      </c>
    </row>
    <row r="8" spans="1:2" x14ac:dyDescent="0.25">
      <c r="A8" t="s">
        <v>26</v>
      </c>
      <c r="B8" s="5">
        <v>0</v>
      </c>
    </row>
    <row r="9" spans="1:2" x14ac:dyDescent="0.25">
      <c r="A9" t="s">
        <v>27</v>
      </c>
      <c r="B9" s="3">
        <v>490</v>
      </c>
    </row>
    <row r="10" spans="1:2" x14ac:dyDescent="0.25">
      <c r="A10" t="s">
        <v>28</v>
      </c>
      <c r="B10" s="5">
        <v>3</v>
      </c>
    </row>
    <row r="11" spans="1:2" x14ac:dyDescent="0.25">
      <c r="A11" t="s">
        <v>29</v>
      </c>
      <c r="B11" s="3">
        <v>4000</v>
      </c>
    </row>
    <row r="12" spans="1:2" x14ac:dyDescent="0.25">
      <c r="A12" t="s">
        <v>30</v>
      </c>
      <c r="B12" s="6">
        <v>0.113</v>
      </c>
    </row>
    <row r="13" spans="1:2" x14ac:dyDescent="0.25">
      <c r="A13" t="s">
        <v>31</v>
      </c>
      <c r="B13" s="4">
        <v>0.05</v>
      </c>
    </row>
    <row r="14" spans="1:2" x14ac:dyDescent="0.25">
      <c r="A14" t="s">
        <v>32</v>
      </c>
      <c r="B14" s="4">
        <v>0.08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>
      <selection activeCell="E35" sqref="E35"/>
    </sheetView>
  </sheetViews>
  <sheetFormatPr baseColWidth="10" defaultColWidth="8.7109375" defaultRowHeight="15" x14ac:dyDescent="0.25"/>
  <cols>
    <col min="1" max="5" width="24.7109375" customWidth="1"/>
  </cols>
  <sheetData>
    <row r="1" spans="1:5" ht="18.75" x14ac:dyDescent="0.3">
      <c r="A1" s="1" t="s">
        <v>33</v>
      </c>
    </row>
    <row r="3" spans="1:5" x14ac:dyDescent="0.25">
      <c r="A3" s="2" t="s">
        <v>34</v>
      </c>
      <c r="B3" s="2" t="s">
        <v>35</v>
      </c>
      <c r="C3" s="2" t="s">
        <v>36</v>
      </c>
      <c r="D3" s="2" t="s">
        <v>37</v>
      </c>
      <c r="E3" s="2" t="s">
        <v>38</v>
      </c>
    </row>
    <row r="4" spans="1:5" x14ac:dyDescent="0.25">
      <c r="A4" t="s">
        <v>39</v>
      </c>
      <c r="B4">
        <v>1.1000000000000001</v>
      </c>
      <c r="C4">
        <v>0.03</v>
      </c>
      <c r="D4">
        <v>0.1</v>
      </c>
      <c r="E4">
        <v>0</v>
      </c>
    </row>
    <row r="5" spans="1:5" x14ac:dyDescent="0.25">
      <c r="A5" t="s">
        <v>40</v>
      </c>
      <c r="B5">
        <v>1</v>
      </c>
      <c r="C5">
        <v>0.05</v>
      </c>
      <c r="D5">
        <v>0.08</v>
      </c>
      <c r="E5">
        <v>0</v>
      </c>
    </row>
    <row r="6" spans="1:5" x14ac:dyDescent="0.25">
      <c r="A6" t="s">
        <v>41</v>
      </c>
      <c r="B6">
        <v>0.9</v>
      </c>
      <c r="C6">
        <v>7.0000000000000007E-2</v>
      </c>
      <c r="D6">
        <v>0.06</v>
      </c>
      <c r="E6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workbookViewId="0"/>
  </sheetViews>
  <sheetFormatPr baseColWidth="10" defaultColWidth="8.7109375" defaultRowHeight="15" x14ac:dyDescent="0.25"/>
  <cols>
    <col min="1" max="1" width="34.7109375" customWidth="1"/>
    <col min="2" max="4" width="20.7109375" customWidth="1"/>
    <col min="5" max="6" width="22.7109375" customWidth="1"/>
  </cols>
  <sheetData>
    <row r="1" spans="1:6" ht="18.75" x14ac:dyDescent="0.3">
      <c r="A1" s="1" t="s">
        <v>42</v>
      </c>
    </row>
    <row r="3" spans="1:6" ht="15.75" x14ac:dyDescent="0.25">
      <c r="A3" s="2" t="s">
        <v>43</v>
      </c>
      <c r="B3" s="2" t="s">
        <v>16</v>
      </c>
      <c r="C3" s="2" t="s">
        <v>44</v>
      </c>
      <c r="E3" s="7" t="s">
        <v>46</v>
      </c>
    </row>
    <row r="4" spans="1:6" x14ac:dyDescent="0.25">
      <c r="B4" s="8" t="s">
        <v>45</v>
      </c>
      <c r="E4" s="2" t="s">
        <v>47</v>
      </c>
      <c r="F4">
        <f>IF($B$4="Sí",1,0)</f>
        <v>0</v>
      </c>
    </row>
    <row r="5" spans="1:6" x14ac:dyDescent="0.25">
      <c r="A5" s="2" t="s">
        <v>34</v>
      </c>
      <c r="B5" s="2" t="s">
        <v>48</v>
      </c>
      <c r="C5" s="2" t="s">
        <v>49</v>
      </c>
    </row>
    <row r="6" spans="1:6" x14ac:dyDescent="0.25">
      <c r="B6" s="8" t="s">
        <v>40</v>
      </c>
    </row>
    <row r="8" spans="1:6" ht="15.75" x14ac:dyDescent="0.25">
      <c r="A8" s="7" t="s">
        <v>50</v>
      </c>
    </row>
    <row r="9" spans="1:6" x14ac:dyDescent="0.25">
      <c r="A9" s="2" t="s">
        <v>21</v>
      </c>
      <c r="B9" s="2" t="s">
        <v>51</v>
      </c>
      <c r="C9" s="2" t="s">
        <v>52</v>
      </c>
      <c r="D9" s="2" t="s">
        <v>53</v>
      </c>
    </row>
    <row r="10" spans="1:6" x14ac:dyDescent="0.25">
      <c r="A10" t="s">
        <v>22</v>
      </c>
      <c r="B10" s="3">
        <f>IF(ResetOn=1, DEFAULTS!$B$4, C10)</f>
        <v>15</v>
      </c>
      <c r="C10" s="3">
        <f>DEFAULTS!$B$4</f>
        <v>15</v>
      </c>
      <c r="D10" s="9" t="s">
        <v>54</v>
      </c>
    </row>
    <row r="12" spans="1:6" ht="15.75" x14ac:dyDescent="0.25">
      <c r="A12" s="7" t="s">
        <v>55</v>
      </c>
    </row>
    <row r="13" spans="1:6" x14ac:dyDescent="0.25">
      <c r="A13" s="2" t="s">
        <v>21</v>
      </c>
      <c r="B13" s="2" t="s">
        <v>51</v>
      </c>
      <c r="C13" s="2" t="s">
        <v>52</v>
      </c>
      <c r="D13" s="2" t="s">
        <v>53</v>
      </c>
    </row>
    <row r="14" spans="1:6" x14ac:dyDescent="0.25">
      <c r="A14" t="s">
        <v>23</v>
      </c>
      <c r="B14" s="4">
        <f>IF(ResetOn=1, DEFAULTS!$B$5, IF(ScenarioSel="(Manual)", C14, IFERROR(INDEX(SCEN_WACC, MATCH(ScenarioSel, SCEN_NAMES,0)), C14)))</f>
        <v>0.08</v>
      </c>
      <c r="C14" s="4">
        <f>DEFAULTS!$B$5</f>
        <v>0.08</v>
      </c>
      <c r="D14" s="9" t="s">
        <v>56</v>
      </c>
    </row>
    <row r="15" spans="1:6" x14ac:dyDescent="0.25">
      <c r="A15" t="s">
        <v>24</v>
      </c>
      <c r="B15" s="4">
        <f>IF(ResetOn=1, DEFAULTS!$B$6, C15)</f>
        <v>0.05</v>
      </c>
      <c r="C15" s="4">
        <f>DEFAULTS!$B$6</f>
        <v>0.05</v>
      </c>
      <c r="D15" s="9" t="s">
        <v>56</v>
      </c>
    </row>
    <row r="16" spans="1:6" x14ac:dyDescent="0.25">
      <c r="A16" t="s">
        <v>25</v>
      </c>
      <c r="B16" s="4">
        <f>IF(ResetOn=1, DEFAULTS!$B$7, C16)</f>
        <v>0</v>
      </c>
      <c r="C16" s="4">
        <f>DEFAULTS!$B$7</f>
        <v>0</v>
      </c>
      <c r="D16" s="9" t="s">
        <v>56</v>
      </c>
    </row>
    <row r="17" spans="1:4" x14ac:dyDescent="0.25">
      <c r="A17" t="s">
        <v>26</v>
      </c>
      <c r="B17" s="4">
        <f>IF(ResetOn=1, DEFAULTS!$B$8, IF(ScenarioSel="(Manual)", C17, IFERROR(INDEX(SCEN_VALRES, MATCH(ScenarioSel, SCEN_NAMES,0)), C17)))</f>
        <v>0</v>
      </c>
      <c r="C17" s="4">
        <f>DEFAULTS!$B$8</f>
        <v>0</v>
      </c>
      <c r="D17" s="9" t="s">
        <v>56</v>
      </c>
    </row>
    <row r="18" spans="1:4" x14ac:dyDescent="0.25">
      <c r="A18" t="s">
        <v>32</v>
      </c>
      <c r="B18" s="4">
        <f>IF(ResetOn=1, DEFAULTS!$B$14, C18)</f>
        <v>0.08</v>
      </c>
      <c r="C18" s="4">
        <f>DEFAULTS!$B$14</f>
        <v>0.08</v>
      </c>
      <c r="D18" s="9" t="s">
        <v>56</v>
      </c>
    </row>
    <row r="20" spans="1:4" ht="15.75" x14ac:dyDescent="0.25">
      <c r="A20" s="7" t="s">
        <v>57</v>
      </c>
    </row>
    <row r="21" spans="1:4" x14ac:dyDescent="0.25">
      <c r="A21" s="2" t="s">
        <v>21</v>
      </c>
      <c r="B21" s="2" t="s">
        <v>51</v>
      </c>
      <c r="C21" s="2" t="s">
        <v>52</v>
      </c>
      <c r="D21" s="2" t="s">
        <v>53</v>
      </c>
    </row>
    <row r="22" spans="1:4" x14ac:dyDescent="0.25">
      <c r="A22" t="s">
        <v>27</v>
      </c>
      <c r="B22" s="3">
        <f>IF(ResetOn=1, DEFAULTS!$B$9, C22)</f>
        <v>490</v>
      </c>
      <c r="C22" s="3">
        <f>DEFAULTS!$B$9</f>
        <v>490</v>
      </c>
      <c r="D22" s="9" t="s">
        <v>58</v>
      </c>
    </row>
    <row r="23" spans="1:4" x14ac:dyDescent="0.25">
      <c r="A23" t="s">
        <v>28</v>
      </c>
      <c r="B23" s="5">
        <f>IF(ResetOn=1, DEFAULTS!$B$10, C23)</f>
        <v>3</v>
      </c>
      <c r="C23" s="5">
        <f>DEFAULTS!$B$10</f>
        <v>3</v>
      </c>
      <c r="D23" s="9" t="s">
        <v>59</v>
      </c>
    </row>
    <row r="24" spans="1:4" x14ac:dyDescent="0.25">
      <c r="A24" t="s">
        <v>29</v>
      </c>
      <c r="B24" s="3">
        <f>IF(ResetOn=1, DEFAULTS!$B$11, C24)</f>
        <v>4000</v>
      </c>
      <c r="C24" s="3">
        <f>DEFAULTS!$B$11</f>
        <v>4000</v>
      </c>
      <c r="D24" s="9" t="s">
        <v>60</v>
      </c>
    </row>
    <row r="25" spans="1:4" x14ac:dyDescent="0.25">
      <c r="A25" t="s">
        <v>30</v>
      </c>
      <c r="B25" s="6">
        <f>IF(ResetOn=1, DEFAULTS!$B$12, C25)</f>
        <v>0.113</v>
      </c>
      <c r="C25" s="6">
        <f>DEFAULTS!$B$12</f>
        <v>0.113</v>
      </c>
      <c r="D25" s="9" t="s">
        <v>61</v>
      </c>
    </row>
    <row r="26" spans="1:4" x14ac:dyDescent="0.25">
      <c r="A26" t="s">
        <v>31</v>
      </c>
      <c r="B26" s="4">
        <f>IF(ResetOn=1, DEFAULTS!$B$13, IF(ScenarioSel="(Manual)", C26, IFERROR(INDEX(SCEN_ESCALO, MATCH(ScenarioSel, SCEN_NAMES,0)), C26)))</f>
        <v>0.05</v>
      </c>
      <c r="C26" s="4">
        <f>DEFAULTS!$B$13</f>
        <v>0.05</v>
      </c>
      <c r="D26" s="9" t="s">
        <v>56</v>
      </c>
    </row>
    <row r="28" spans="1:4" ht="15.75" x14ac:dyDescent="0.25">
      <c r="A28" s="7" t="s">
        <v>62</v>
      </c>
    </row>
    <row r="29" spans="1:4" x14ac:dyDescent="0.25">
      <c r="A29" s="2" t="s">
        <v>21</v>
      </c>
      <c r="B29" s="2" t="s">
        <v>51</v>
      </c>
      <c r="C29" s="2" t="s">
        <v>52</v>
      </c>
      <c r="D29" s="2" t="s">
        <v>53</v>
      </c>
    </row>
    <row r="30" spans="1:4" x14ac:dyDescent="0.25">
      <c r="A30" t="s">
        <v>63</v>
      </c>
      <c r="B30" s="5">
        <f>IF(ResetOn=1, 1, IF(ScenarioSel="(Manual)", C30, IFERROR(INDEX(SCEN_CAPEX_MULT, MATCH(ScenarioSel, SCEN_NAMES,0)), C30)))</f>
        <v>1</v>
      </c>
      <c r="C30" s="5">
        <f>1</f>
        <v>1</v>
      </c>
      <c r="D30" s="9" t="s">
        <v>64</v>
      </c>
    </row>
  </sheetData>
  <dataValidations count="2">
    <dataValidation type="list" allowBlank="1" showInputMessage="1" showErrorMessage="1" sqref="B4" xr:uid="{00000000-0002-0000-0300-000000000000}">
      <formula1>"No,Sí"</formula1>
    </dataValidation>
    <dataValidation type="list" allowBlank="1" showInputMessage="1" showErrorMessage="1" sqref="B6" xr:uid="{00000000-0002-0000-0300-000001000000}">
      <formula1>"(Manual),Pesimista,Base,Optimista"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"/>
  <sheetViews>
    <sheetView showGridLines="0" workbookViewId="0">
      <selection activeCell="J19" sqref="J19"/>
    </sheetView>
  </sheetViews>
  <sheetFormatPr baseColWidth="10" defaultColWidth="8.7109375" defaultRowHeight="15" x14ac:dyDescent="0.25"/>
  <cols>
    <col min="1" max="1" width="34.7109375" customWidth="1"/>
    <col min="2" max="4" width="14.7109375" customWidth="1"/>
    <col min="5" max="5" width="10.7109375" customWidth="1"/>
    <col min="6" max="7" width="16.7109375" customWidth="1"/>
  </cols>
  <sheetData>
    <row r="1" spans="1:7" x14ac:dyDescent="0.25">
      <c r="A1" s="2" t="s">
        <v>65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</row>
    <row r="2" spans="1:7" x14ac:dyDescent="0.25">
      <c r="A2" s="15" t="s">
        <v>72</v>
      </c>
      <c r="B2" s="15"/>
      <c r="C2" s="15"/>
      <c r="D2" s="15"/>
      <c r="E2" s="15"/>
      <c r="F2" s="15"/>
      <c r="G2" s="15"/>
    </row>
    <row r="3" spans="1:7" x14ac:dyDescent="0.25">
      <c r="A3" t="s">
        <v>73</v>
      </c>
      <c r="B3" s="3">
        <v>1</v>
      </c>
      <c r="C3" s="10">
        <v>285000</v>
      </c>
      <c r="D3" s="10">
        <f>B3*C3</f>
        <v>285000</v>
      </c>
      <c r="E3" s="4">
        <f>D3/SUM(D3:D31)</f>
        <v>0.52119050884652307</v>
      </c>
      <c r="F3" s="4">
        <v>0</v>
      </c>
      <c r="G3" s="10">
        <f>D3*(1+F3)</f>
        <v>285000</v>
      </c>
    </row>
    <row r="4" spans="1:7" x14ac:dyDescent="0.25">
      <c r="A4" s="15" t="s">
        <v>74</v>
      </c>
      <c r="B4" s="15"/>
      <c r="C4" s="15"/>
      <c r="D4" s="15"/>
      <c r="E4" s="15"/>
      <c r="F4" s="15"/>
      <c r="G4" s="15"/>
    </row>
    <row r="5" spans="1:7" x14ac:dyDescent="0.25">
      <c r="A5" t="s">
        <v>75</v>
      </c>
      <c r="B5" s="3">
        <v>1</v>
      </c>
      <c r="C5" s="10">
        <v>45000</v>
      </c>
      <c r="D5" s="10">
        <f t="shared" ref="D5:D10" si="0">B5*C5</f>
        <v>45000</v>
      </c>
      <c r="E5" s="4">
        <f>D5/SUM(D3:D31)</f>
        <v>8.2293238238924704E-2</v>
      </c>
      <c r="F5" s="4">
        <v>0</v>
      </c>
      <c r="G5" s="10">
        <f t="shared" ref="G5:G10" si="1">D5*(1+F5)</f>
        <v>45000</v>
      </c>
    </row>
    <row r="6" spans="1:7" x14ac:dyDescent="0.25">
      <c r="A6" t="s">
        <v>76</v>
      </c>
      <c r="B6" s="3">
        <v>0</v>
      </c>
      <c r="C6" s="10">
        <v>10000</v>
      </c>
      <c r="D6" s="10">
        <f t="shared" si="0"/>
        <v>0</v>
      </c>
      <c r="E6" s="4">
        <f>D6/SUM(D3:D31)</f>
        <v>0</v>
      </c>
      <c r="F6" s="4">
        <v>0</v>
      </c>
      <c r="G6" s="10">
        <f t="shared" si="1"/>
        <v>0</v>
      </c>
    </row>
    <row r="7" spans="1:7" x14ac:dyDescent="0.25">
      <c r="A7" t="s">
        <v>77</v>
      </c>
      <c r="B7" s="3">
        <v>0</v>
      </c>
      <c r="C7" s="10">
        <v>1200</v>
      </c>
      <c r="D7" s="10">
        <f t="shared" si="0"/>
        <v>0</v>
      </c>
      <c r="E7" s="4">
        <f>D7/SUM(D3:D31)</f>
        <v>0</v>
      </c>
      <c r="F7" s="4">
        <v>0</v>
      </c>
      <c r="G7" s="10">
        <f t="shared" si="1"/>
        <v>0</v>
      </c>
    </row>
    <row r="8" spans="1:7" x14ac:dyDescent="0.25">
      <c r="A8" t="s">
        <v>78</v>
      </c>
      <c r="B8" s="3">
        <v>0</v>
      </c>
      <c r="C8" s="10">
        <v>4000</v>
      </c>
      <c r="D8" s="10">
        <f t="shared" si="0"/>
        <v>0</v>
      </c>
      <c r="E8" s="4">
        <f>D8/SUM(D3:D31)</f>
        <v>0</v>
      </c>
      <c r="F8" s="4">
        <v>0</v>
      </c>
      <c r="G8" s="10">
        <f t="shared" si="1"/>
        <v>0</v>
      </c>
    </row>
    <row r="9" spans="1:7" x14ac:dyDescent="0.25">
      <c r="A9" t="s">
        <v>79</v>
      </c>
      <c r="B9" s="3">
        <v>4</v>
      </c>
      <c r="C9" s="10">
        <v>2800</v>
      </c>
      <c r="D9" s="10">
        <f t="shared" si="0"/>
        <v>11200</v>
      </c>
      <c r="E9" s="4">
        <f>D9/SUM(D3:D31)</f>
        <v>2.0481872628354592E-2</v>
      </c>
      <c r="F9" s="4">
        <v>0</v>
      </c>
      <c r="G9" s="10">
        <f t="shared" si="1"/>
        <v>11200</v>
      </c>
    </row>
    <row r="10" spans="1:7" x14ac:dyDescent="0.25">
      <c r="A10" t="s">
        <v>80</v>
      </c>
      <c r="B10" s="3">
        <v>2</v>
      </c>
      <c r="C10" s="10">
        <v>8500</v>
      </c>
      <c r="D10" s="10">
        <f t="shared" si="0"/>
        <v>17000</v>
      </c>
      <c r="E10" s="4">
        <f>D10/SUM(D3:D31)</f>
        <v>3.1088556668038222E-2</v>
      </c>
      <c r="F10" s="4">
        <v>0</v>
      </c>
      <c r="G10" s="10">
        <f t="shared" si="1"/>
        <v>17000</v>
      </c>
    </row>
    <row r="11" spans="1:7" x14ac:dyDescent="0.25">
      <c r="A11" s="15" t="s">
        <v>81</v>
      </c>
      <c r="B11" s="15"/>
      <c r="C11" s="15"/>
      <c r="D11" s="15"/>
      <c r="E11" s="15"/>
      <c r="F11" s="15"/>
      <c r="G11" s="15"/>
    </row>
    <row r="12" spans="1:7" x14ac:dyDescent="0.25">
      <c r="A12" t="s">
        <v>82</v>
      </c>
      <c r="B12" s="3">
        <v>120</v>
      </c>
      <c r="C12" s="10">
        <v>120</v>
      </c>
      <c r="D12" s="10">
        <f>B12*C12</f>
        <v>14400</v>
      </c>
      <c r="E12" s="4">
        <f>D12/SUM(D3:D31)</f>
        <v>2.6333836236455903E-2</v>
      </c>
      <c r="F12" s="4">
        <v>0</v>
      </c>
      <c r="G12" s="10">
        <f>D12*(1+F12)</f>
        <v>14400</v>
      </c>
    </row>
    <row r="13" spans="1:7" x14ac:dyDescent="0.25">
      <c r="A13" t="s">
        <v>83</v>
      </c>
      <c r="B13" s="3">
        <v>3</v>
      </c>
      <c r="C13" s="10">
        <v>5800</v>
      </c>
      <c r="D13" s="10">
        <f>B13*C13</f>
        <v>17400</v>
      </c>
      <c r="E13" s="4">
        <f>D13/SUM(D3:D31)</f>
        <v>3.1820052119050882E-2</v>
      </c>
      <c r="F13" s="4">
        <v>0</v>
      </c>
      <c r="G13" s="10">
        <f>D13*(1+F13)</f>
        <v>17400</v>
      </c>
    </row>
    <row r="14" spans="1:7" x14ac:dyDescent="0.25">
      <c r="A14" t="s">
        <v>84</v>
      </c>
      <c r="B14" s="3">
        <v>1</v>
      </c>
      <c r="C14" s="10">
        <v>3000</v>
      </c>
      <c r="D14" s="10">
        <f>B14*C14</f>
        <v>3000</v>
      </c>
      <c r="E14" s="4">
        <f>D14/SUM(D3:D31)</f>
        <v>5.4862158825949798E-3</v>
      </c>
      <c r="F14" s="4">
        <v>0</v>
      </c>
      <c r="G14" s="10">
        <f>D14*(1+F14)</f>
        <v>3000</v>
      </c>
    </row>
    <row r="15" spans="1:7" x14ac:dyDescent="0.25">
      <c r="A15" t="s">
        <v>85</v>
      </c>
      <c r="B15" s="3">
        <v>45</v>
      </c>
      <c r="C15" s="10">
        <v>85</v>
      </c>
      <c r="D15" s="10">
        <f>B15*C15</f>
        <v>3825</v>
      </c>
      <c r="E15" s="4">
        <f>D15/SUM(D3:D31)</f>
        <v>6.9949252503085993E-3</v>
      </c>
      <c r="F15" s="4">
        <v>0</v>
      </c>
      <c r="G15" s="10">
        <f>D15*(1+F15)</f>
        <v>3825</v>
      </c>
    </row>
    <row r="16" spans="1:7" x14ac:dyDescent="0.25">
      <c r="A16" s="15" t="s">
        <v>86</v>
      </c>
      <c r="B16" s="15"/>
      <c r="C16" s="15"/>
      <c r="D16" s="15"/>
      <c r="E16" s="15"/>
      <c r="F16" s="15"/>
      <c r="G16" s="15"/>
    </row>
    <row r="17" spans="1:7" x14ac:dyDescent="0.25">
      <c r="A17" t="s">
        <v>87</v>
      </c>
      <c r="B17" s="3">
        <v>0</v>
      </c>
      <c r="C17" s="10">
        <v>30</v>
      </c>
      <c r="D17" s="10">
        <f>B17*C17</f>
        <v>0</v>
      </c>
      <c r="E17" s="4">
        <f>D17/SUM(D3:D31)</f>
        <v>0</v>
      </c>
      <c r="F17" s="4">
        <v>0</v>
      </c>
      <c r="G17" s="10">
        <f>D17*(1+F17)</f>
        <v>0</v>
      </c>
    </row>
    <row r="18" spans="1:7" x14ac:dyDescent="0.25">
      <c r="A18" t="s">
        <v>88</v>
      </c>
      <c r="B18" s="3">
        <v>0</v>
      </c>
      <c r="C18" s="10">
        <v>30</v>
      </c>
      <c r="D18" s="10">
        <f>B18*C18</f>
        <v>0</v>
      </c>
      <c r="E18" s="4">
        <f>D18/SUM(D3:D31)</f>
        <v>0</v>
      </c>
      <c r="F18" s="4">
        <v>0</v>
      </c>
      <c r="G18" s="10">
        <f>D18*(1+F18)</f>
        <v>0</v>
      </c>
    </row>
    <row r="19" spans="1:7" x14ac:dyDescent="0.25">
      <c r="A19" t="s">
        <v>89</v>
      </c>
      <c r="B19" s="3">
        <v>0</v>
      </c>
      <c r="C19" s="10">
        <v>30</v>
      </c>
      <c r="D19" s="10">
        <f>B19*C19</f>
        <v>0</v>
      </c>
      <c r="E19" s="4">
        <f>D19/SUM(D3:D31)</f>
        <v>0</v>
      </c>
      <c r="F19" s="4">
        <v>0</v>
      </c>
      <c r="G19" s="10">
        <f>D19*(1+F19)</f>
        <v>0</v>
      </c>
    </row>
    <row r="20" spans="1:7" x14ac:dyDescent="0.25">
      <c r="A20" t="s">
        <v>90</v>
      </c>
      <c r="B20" s="3">
        <v>1</v>
      </c>
      <c r="C20" s="10">
        <v>10000</v>
      </c>
      <c r="D20" s="10">
        <f>B20*C20</f>
        <v>10000</v>
      </c>
      <c r="E20" s="4">
        <f>D20/SUM(D3:D31)</f>
        <v>1.8287386275316602E-2</v>
      </c>
      <c r="F20" s="4">
        <v>0</v>
      </c>
      <c r="G20" s="10">
        <f>D20*(1+F20)</f>
        <v>10000</v>
      </c>
    </row>
    <row r="21" spans="1:7" x14ac:dyDescent="0.25">
      <c r="A21" s="15" t="s">
        <v>91</v>
      </c>
      <c r="B21" s="15"/>
      <c r="C21" s="15"/>
      <c r="D21" s="15"/>
      <c r="E21" s="15"/>
      <c r="F21" s="15"/>
      <c r="G21" s="15"/>
    </row>
    <row r="22" spans="1:7" x14ac:dyDescent="0.25">
      <c r="A22" t="s">
        <v>92</v>
      </c>
      <c r="B22" s="3">
        <v>1</v>
      </c>
      <c r="C22" s="10">
        <v>10000</v>
      </c>
      <c r="D22" s="10">
        <f>B22*C22</f>
        <v>10000</v>
      </c>
      <c r="E22" s="4">
        <f>D22/SUM(D3:D31)</f>
        <v>1.8287386275316602E-2</v>
      </c>
      <c r="F22" s="4">
        <v>0</v>
      </c>
      <c r="G22" s="10">
        <f>D22*(1+F22)</f>
        <v>10000</v>
      </c>
    </row>
    <row r="23" spans="1:7" x14ac:dyDescent="0.25">
      <c r="A23" t="s">
        <v>93</v>
      </c>
      <c r="B23" s="3">
        <v>1</v>
      </c>
      <c r="C23" s="10">
        <v>35000</v>
      </c>
      <c r="D23" s="10">
        <f>B23*C23</f>
        <v>35000</v>
      </c>
      <c r="E23" s="4">
        <f>D23/SUM(D3:D31)</f>
        <v>6.4005851963608099E-2</v>
      </c>
      <c r="F23" s="4">
        <v>0</v>
      </c>
      <c r="G23" s="10">
        <f>D23*(1+F23)</f>
        <v>35000</v>
      </c>
    </row>
    <row r="24" spans="1:7" x14ac:dyDescent="0.25">
      <c r="A24" t="s">
        <v>94</v>
      </c>
      <c r="B24" s="3">
        <v>1</v>
      </c>
      <c r="C24" s="10">
        <v>50000</v>
      </c>
      <c r="D24" s="10">
        <f>B24*C24</f>
        <v>50000</v>
      </c>
      <c r="E24" s="4">
        <f>D24/SUM(D3:D31)</f>
        <v>9.1436931376583E-2</v>
      </c>
      <c r="F24" s="4">
        <v>0</v>
      </c>
      <c r="G24" s="10">
        <f>D24*(1+F24)</f>
        <v>50000</v>
      </c>
    </row>
    <row r="25" spans="1:7" x14ac:dyDescent="0.25">
      <c r="A25" t="s">
        <v>95</v>
      </c>
      <c r="B25" s="3">
        <v>1</v>
      </c>
      <c r="C25" s="10">
        <v>10000</v>
      </c>
      <c r="D25" s="10">
        <f>B25*C25</f>
        <v>10000</v>
      </c>
      <c r="E25" s="4">
        <f>D25/SUM(D3:D31)</f>
        <v>1.8287386275316602E-2</v>
      </c>
      <c r="F25" s="4">
        <v>0</v>
      </c>
      <c r="G25" s="10">
        <f>D25*(1+F25)</f>
        <v>10000</v>
      </c>
    </row>
    <row r="26" spans="1:7" x14ac:dyDescent="0.25">
      <c r="A26" s="15" t="s">
        <v>96</v>
      </c>
      <c r="B26" s="15"/>
      <c r="C26" s="15"/>
      <c r="D26" s="15"/>
      <c r="E26" s="15"/>
      <c r="F26" s="15"/>
      <c r="G26" s="15"/>
    </row>
    <row r="27" spans="1:7" x14ac:dyDescent="0.25">
      <c r="A27" t="s">
        <v>97</v>
      </c>
      <c r="B27" s="3">
        <v>1</v>
      </c>
      <c r="C27" s="10">
        <v>15000</v>
      </c>
      <c r="D27" s="10">
        <f>B27*C27</f>
        <v>15000</v>
      </c>
      <c r="E27" s="4">
        <f>D27/SUM(D3:D31)</f>
        <v>2.7431079412974901E-2</v>
      </c>
      <c r="F27" s="4">
        <v>0</v>
      </c>
      <c r="G27" s="10">
        <f>D27*(1+F27)</f>
        <v>15000</v>
      </c>
    </row>
    <row r="28" spans="1:7" x14ac:dyDescent="0.25">
      <c r="A28" t="s">
        <v>98</v>
      </c>
      <c r="B28" s="3">
        <v>1</v>
      </c>
      <c r="C28" s="10">
        <v>20000</v>
      </c>
      <c r="D28" s="10">
        <f>B28*C28</f>
        <v>20000</v>
      </c>
      <c r="E28" s="4">
        <f>D28/SUM(D3:D31)</f>
        <v>3.6574772550633204E-2</v>
      </c>
      <c r="F28" s="4">
        <v>0</v>
      </c>
      <c r="G28" s="10">
        <f>D28*(1+F28)</f>
        <v>20000</v>
      </c>
    </row>
    <row r="29" spans="1:7" x14ac:dyDescent="0.25">
      <c r="A29" t="s">
        <v>99</v>
      </c>
      <c r="B29" s="3">
        <v>0</v>
      </c>
      <c r="C29" s="10">
        <v>18000</v>
      </c>
      <c r="D29" s="10">
        <f>B29*C29</f>
        <v>0</v>
      </c>
      <c r="E29" s="4">
        <f>D29/SUM(D3:D31)</f>
        <v>0</v>
      </c>
      <c r="F29" s="4">
        <v>0</v>
      </c>
      <c r="G29" s="10">
        <f>D29*(1+F29)</f>
        <v>0</v>
      </c>
    </row>
    <row r="30" spans="1:7" x14ac:dyDescent="0.25">
      <c r="A30" t="s">
        <v>100</v>
      </c>
      <c r="B30" s="3">
        <v>0</v>
      </c>
      <c r="C30" s="10">
        <v>15000</v>
      </c>
      <c r="D30" s="10">
        <f>B30*C30</f>
        <v>0</v>
      </c>
      <c r="E30" s="4">
        <f>D30/SUM(D3:D31)</f>
        <v>0</v>
      </c>
      <c r="F30" s="4">
        <v>0</v>
      </c>
      <c r="G30" s="10">
        <f>D30*(1+F30)</f>
        <v>0</v>
      </c>
    </row>
    <row r="31" spans="1:7" x14ac:dyDescent="0.25">
      <c r="A31" t="s">
        <v>101</v>
      </c>
      <c r="B31" s="3">
        <v>0</v>
      </c>
      <c r="C31" s="10">
        <v>12000</v>
      </c>
      <c r="D31" s="10">
        <f>B31*C31</f>
        <v>0</v>
      </c>
      <c r="E31" s="4">
        <f>D31/SUM(D3:D31)</f>
        <v>0</v>
      </c>
      <c r="F31" s="4">
        <v>0</v>
      </c>
      <c r="G31" s="10">
        <f>D31*(1+F31)</f>
        <v>0</v>
      </c>
    </row>
    <row r="33" spans="1:8" x14ac:dyDescent="0.25">
      <c r="A33" s="11" t="s">
        <v>102</v>
      </c>
      <c r="G33" s="10">
        <f>SUM(G3:G31)</f>
        <v>546825</v>
      </c>
      <c r="H33" s="10"/>
    </row>
    <row r="34" spans="1:8" x14ac:dyDescent="0.25">
      <c r="A34" s="11" t="s">
        <v>103</v>
      </c>
      <c r="F34" s="4">
        <v>0.08</v>
      </c>
      <c r="G34" s="10">
        <f>G33*F34</f>
        <v>43746</v>
      </c>
    </row>
    <row r="35" spans="1:8" x14ac:dyDescent="0.25">
      <c r="A35" s="11" t="s">
        <v>104</v>
      </c>
      <c r="F35" s="4">
        <v>0</v>
      </c>
      <c r="G35" s="10">
        <f>G33*F35</f>
        <v>0</v>
      </c>
    </row>
    <row r="36" spans="1:8" x14ac:dyDescent="0.25">
      <c r="A36" s="11" t="s">
        <v>105</v>
      </c>
      <c r="G36" s="10">
        <f>G33+G34+G35</f>
        <v>590571</v>
      </c>
    </row>
    <row r="100" spans="1:7" x14ac:dyDescent="0.25">
      <c r="A100" s="11" t="s">
        <v>106</v>
      </c>
      <c r="G100" s="10">
        <f>G36*CAPEX_MULT</f>
        <v>590571</v>
      </c>
    </row>
  </sheetData>
  <mergeCells count="6">
    <mergeCell ref="A26:G26"/>
    <mergeCell ref="A2:G2"/>
    <mergeCell ref="A4:G4"/>
    <mergeCell ref="A11:G11"/>
    <mergeCell ref="A16:G16"/>
    <mergeCell ref="A21:G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workbookViewId="0">
      <selection activeCell="I10" sqref="I10"/>
    </sheetView>
  </sheetViews>
  <sheetFormatPr baseColWidth="10" defaultColWidth="8.7109375" defaultRowHeight="15" x14ac:dyDescent="0.25"/>
  <cols>
    <col min="1" max="1" width="32.7109375" customWidth="1"/>
    <col min="2" max="5" width="16.7109375" customWidth="1"/>
  </cols>
  <sheetData>
    <row r="1" spans="1:5" s="14" customFormat="1" ht="56.45" customHeight="1" x14ac:dyDescent="0.25">
      <c r="A1" s="13" t="s">
        <v>65</v>
      </c>
      <c r="B1" s="13" t="s">
        <v>107</v>
      </c>
      <c r="C1" s="13" t="s">
        <v>108</v>
      </c>
      <c r="D1" s="13" t="s">
        <v>109</v>
      </c>
      <c r="E1" s="13" t="s">
        <v>110</v>
      </c>
    </row>
    <row r="2" spans="1:5" x14ac:dyDescent="0.25">
      <c r="A2" t="s">
        <v>111</v>
      </c>
      <c r="B2" s="10">
        <v>76342</v>
      </c>
      <c r="C2" s="10">
        <v>59664</v>
      </c>
      <c r="D2" s="10">
        <f t="shared" ref="D2:D14" si="0">B2-C2</f>
        <v>16678</v>
      </c>
      <c r="E2" s="4">
        <v>0.05</v>
      </c>
    </row>
    <row r="3" spans="1:5" x14ac:dyDescent="0.25">
      <c r="A3" t="s">
        <v>112</v>
      </c>
      <c r="B3" s="10">
        <v>18000</v>
      </c>
      <c r="C3" s="10">
        <v>8500</v>
      </c>
      <c r="D3" s="10">
        <f t="shared" si="0"/>
        <v>9500</v>
      </c>
      <c r="E3" s="4">
        <v>0.05</v>
      </c>
    </row>
    <row r="4" spans="1:5" x14ac:dyDescent="0.25">
      <c r="A4" t="s">
        <v>113</v>
      </c>
      <c r="B4" s="10">
        <v>12000</v>
      </c>
      <c r="C4" s="10">
        <v>4200</v>
      </c>
      <c r="D4" s="10">
        <f t="shared" si="0"/>
        <v>7800</v>
      </c>
      <c r="E4" s="4">
        <v>0.05</v>
      </c>
    </row>
    <row r="5" spans="1:5" x14ac:dyDescent="0.25">
      <c r="A5" t="s">
        <v>114</v>
      </c>
      <c r="B5" s="10">
        <v>8500</v>
      </c>
      <c r="C5" s="10">
        <v>3200</v>
      </c>
      <c r="D5" s="10">
        <f t="shared" si="0"/>
        <v>5300</v>
      </c>
      <c r="E5" s="4">
        <v>0.05</v>
      </c>
    </row>
    <row r="6" spans="1:5" x14ac:dyDescent="0.25">
      <c r="A6" t="s">
        <v>115</v>
      </c>
      <c r="B6" s="10">
        <v>6500</v>
      </c>
      <c r="C6" s="10">
        <v>0</v>
      </c>
      <c r="D6" s="10">
        <f t="shared" si="0"/>
        <v>6500</v>
      </c>
      <c r="E6" s="4">
        <v>0.05</v>
      </c>
    </row>
    <row r="7" spans="1:5" x14ac:dyDescent="0.25">
      <c r="A7" t="s">
        <v>116</v>
      </c>
      <c r="B7" s="10">
        <v>15680</v>
      </c>
      <c r="C7" s="10">
        <v>2140</v>
      </c>
      <c r="D7" s="10">
        <f t="shared" si="0"/>
        <v>13540</v>
      </c>
      <c r="E7" s="4">
        <v>0.05</v>
      </c>
    </row>
    <row r="8" spans="1:5" x14ac:dyDescent="0.25">
      <c r="A8" t="s">
        <v>117</v>
      </c>
      <c r="B8" s="10">
        <v>3200</v>
      </c>
      <c r="C8" s="10">
        <v>1800</v>
      </c>
      <c r="D8" s="10">
        <f t="shared" si="0"/>
        <v>1400</v>
      </c>
      <c r="E8" s="4">
        <v>0.05</v>
      </c>
    </row>
    <row r="9" spans="1:5" x14ac:dyDescent="0.25">
      <c r="A9" t="s">
        <v>118</v>
      </c>
      <c r="B9" s="10">
        <v>24000</v>
      </c>
      <c r="C9" s="10">
        <v>0</v>
      </c>
      <c r="D9" s="10">
        <f t="shared" si="0"/>
        <v>24000</v>
      </c>
      <c r="E9" s="4">
        <v>0.05</v>
      </c>
    </row>
    <row r="10" spans="1:5" x14ac:dyDescent="0.25">
      <c r="A10" t="s">
        <v>119</v>
      </c>
      <c r="B10" s="10">
        <v>8000</v>
      </c>
      <c r="C10" s="10">
        <v>4000</v>
      </c>
      <c r="D10" s="10">
        <f t="shared" si="0"/>
        <v>4000</v>
      </c>
      <c r="E10" s="4">
        <v>0.05</v>
      </c>
    </row>
    <row r="11" spans="1:5" x14ac:dyDescent="0.25">
      <c r="A11" t="s">
        <v>120</v>
      </c>
      <c r="B11" s="10">
        <v>4200</v>
      </c>
      <c r="C11" s="10">
        <v>2800</v>
      </c>
      <c r="D11" s="10">
        <f t="shared" si="0"/>
        <v>1400</v>
      </c>
      <c r="E11" s="4">
        <v>0.05</v>
      </c>
    </row>
    <row r="12" spans="1:5" x14ac:dyDescent="0.25">
      <c r="A12" t="s">
        <v>121</v>
      </c>
      <c r="B12" s="10">
        <v>3500</v>
      </c>
      <c r="C12" s="10">
        <v>2100</v>
      </c>
      <c r="D12" s="10">
        <f t="shared" si="0"/>
        <v>1400</v>
      </c>
      <c r="E12" s="4">
        <v>0.05</v>
      </c>
    </row>
    <row r="13" spans="1:5" x14ac:dyDescent="0.25">
      <c r="A13" t="s">
        <v>122</v>
      </c>
      <c r="B13" s="10">
        <v>7995</v>
      </c>
      <c r="C13" s="10">
        <v>2165</v>
      </c>
      <c r="D13" s="10">
        <f t="shared" si="0"/>
        <v>5830</v>
      </c>
      <c r="E13" s="4">
        <v>0.05</v>
      </c>
    </row>
    <row r="14" spans="1:5" x14ac:dyDescent="0.25">
      <c r="A14" t="s">
        <v>123</v>
      </c>
      <c r="B14" s="10">
        <v>1500</v>
      </c>
      <c r="C14" s="10">
        <v>250</v>
      </c>
      <c r="D14" s="10">
        <f t="shared" si="0"/>
        <v>1250</v>
      </c>
      <c r="E14" s="4">
        <v>0.05</v>
      </c>
    </row>
    <row r="15" spans="1:5" x14ac:dyDescent="0.25">
      <c r="A15" s="11" t="s">
        <v>124</v>
      </c>
      <c r="D15" s="10">
        <f>SUM(D2:D14)</f>
        <v>98598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5"/>
  <sheetViews>
    <sheetView workbookViewId="0"/>
  </sheetViews>
  <sheetFormatPr baseColWidth="10" defaultColWidth="8.7109375" defaultRowHeight="15" x14ac:dyDescent="0.25"/>
  <cols>
    <col min="1" max="1" width="26.7109375" customWidth="1"/>
    <col min="2" max="17" width="14.7109375" customWidth="1"/>
  </cols>
  <sheetData>
    <row r="1" spans="1:17" ht="18.75" x14ac:dyDescent="0.3">
      <c r="A1" s="1" t="s">
        <v>125</v>
      </c>
    </row>
    <row r="3" spans="1:17" x14ac:dyDescent="0.25">
      <c r="A3" s="2" t="s">
        <v>21</v>
      </c>
      <c r="B3" s="2">
        <v>0</v>
      </c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</row>
    <row r="4" spans="1:17" x14ac:dyDescent="0.25">
      <c r="A4" s="11" t="s">
        <v>126</v>
      </c>
      <c r="B4" s="10">
        <f>-CAPEX_TOTAL</f>
        <v>-590571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</row>
    <row r="5" spans="1:17" x14ac:dyDescent="0.25">
      <c r="A5" s="11" t="s">
        <v>127</v>
      </c>
      <c r="B5" s="10">
        <v>0</v>
      </c>
      <c r="C5" s="10">
        <f>AhorroBase</f>
        <v>98598</v>
      </c>
      <c r="D5" s="10">
        <f>CF_MODEL!C5*(1+EscOPEX)</f>
        <v>103527.90000000001</v>
      </c>
      <c r="E5" s="10">
        <f>CF_MODEL!D5*(1+EscOPEX)</f>
        <v>108704.29500000001</v>
      </c>
      <c r="F5" s="10">
        <f>CF_MODEL!E5*(1+EscOPEX)</f>
        <v>114139.50975000001</v>
      </c>
      <c r="G5" s="10">
        <f>CF_MODEL!F5*(1+EscOPEX)</f>
        <v>119846.48523750002</v>
      </c>
      <c r="H5" s="10">
        <f>CF_MODEL!G5*(1+EscOPEX)</f>
        <v>125838.80949937503</v>
      </c>
      <c r="I5" s="10">
        <f>CF_MODEL!H5*(1+EscOPEX)</f>
        <v>132130.74997434378</v>
      </c>
      <c r="J5" s="10">
        <f>CF_MODEL!I5*(1+EscOPEX)</f>
        <v>138737.28747306098</v>
      </c>
      <c r="K5" s="10">
        <f>CF_MODEL!J5*(1+EscOPEX)</f>
        <v>145674.15184671403</v>
      </c>
      <c r="L5" s="10">
        <f>CF_MODEL!K5*(1+EscOPEX)</f>
        <v>152957.85943904973</v>
      </c>
      <c r="M5" s="10">
        <f>CF_MODEL!L5*(1+EscOPEX)</f>
        <v>160605.75241100224</v>
      </c>
      <c r="N5" s="10">
        <f>CF_MODEL!M5*(1+EscOPEX)</f>
        <v>168636.04003155234</v>
      </c>
      <c r="O5" s="10">
        <f>CF_MODEL!N5*(1+EscOPEX)</f>
        <v>177067.84203312997</v>
      </c>
      <c r="P5" s="10">
        <f>CF_MODEL!O5*(1+EscOPEX)</f>
        <v>185921.23413478647</v>
      </c>
      <c r="Q5" s="10">
        <f>CF_MODEL!P5*(1+EscOPEX)</f>
        <v>195217.2958415258</v>
      </c>
    </row>
    <row r="6" spans="1:17" x14ac:dyDescent="0.25">
      <c r="A6" s="11" t="s">
        <v>128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f>CAPEX_TOTAL*ValorResidualPct</f>
        <v>0</v>
      </c>
    </row>
    <row r="7" spans="1:17" x14ac:dyDescent="0.25">
      <c r="A7" s="11" t="s">
        <v>129</v>
      </c>
      <c r="B7" s="10">
        <f>CF_MODEL!B5+CF_MODEL!B6+CF_MODEL!B4</f>
        <v>-590571</v>
      </c>
      <c r="C7" s="10">
        <f>CF_MODEL!C5+CF_MODEL!C6+CF_MODEL!C4</f>
        <v>98598</v>
      </c>
      <c r="D7" s="10">
        <f>CF_MODEL!D5+CF_MODEL!D6+CF_MODEL!D4</f>
        <v>103527.90000000001</v>
      </c>
      <c r="E7" s="10">
        <f>CF_MODEL!E5+CF_MODEL!E6+CF_MODEL!E4</f>
        <v>108704.29500000001</v>
      </c>
      <c r="F7" s="10">
        <f>CF_MODEL!F5+CF_MODEL!F6+CF_MODEL!F4</f>
        <v>114139.50975000001</v>
      </c>
      <c r="G7" s="10">
        <f>CF_MODEL!G5+CF_MODEL!G6+CF_MODEL!G4</f>
        <v>119846.48523750002</v>
      </c>
      <c r="H7" s="10">
        <f>CF_MODEL!H5+CF_MODEL!H6+CF_MODEL!H4</f>
        <v>125838.80949937503</v>
      </c>
      <c r="I7" s="10">
        <f>CF_MODEL!I5+CF_MODEL!I6+CF_MODEL!I4</f>
        <v>132130.74997434378</v>
      </c>
      <c r="J7" s="10">
        <f>CF_MODEL!J5+CF_MODEL!J6+CF_MODEL!J4</f>
        <v>138737.28747306098</v>
      </c>
      <c r="K7" s="10">
        <f>CF_MODEL!K5+CF_MODEL!K6+CF_MODEL!K4</f>
        <v>145674.15184671403</v>
      </c>
      <c r="L7" s="10">
        <f>CF_MODEL!L5+CF_MODEL!L6+CF_MODEL!L4</f>
        <v>152957.85943904973</v>
      </c>
      <c r="M7" s="10">
        <f>CF_MODEL!M5+CF_MODEL!M6+CF_MODEL!M4</f>
        <v>160605.75241100224</v>
      </c>
      <c r="N7" s="10">
        <f>CF_MODEL!N5+CF_MODEL!N6+CF_MODEL!N4</f>
        <v>168636.04003155234</v>
      </c>
      <c r="O7" s="10">
        <f>CF_MODEL!O5+CF_MODEL!O6+CF_MODEL!O4</f>
        <v>177067.84203312997</v>
      </c>
      <c r="P7" s="10">
        <f>CF_MODEL!P5+CF_MODEL!P6+CF_MODEL!P4</f>
        <v>185921.23413478647</v>
      </c>
      <c r="Q7" s="10">
        <f>CF_MODEL!Q5+CF_MODEL!Q6+CF_MODEL!Q4</f>
        <v>195217.2958415258</v>
      </c>
    </row>
    <row r="9" spans="1:17" x14ac:dyDescent="0.25">
      <c r="A9" s="11" t="s">
        <v>130</v>
      </c>
      <c r="B9" s="10">
        <f>CF_MODEL!B7</f>
        <v>-590571</v>
      </c>
      <c r="C9" s="10">
        <f>CF_MODEL!C7/(1+WACC)^1</f>
        <v>91294.444444444438</v>
      </c>
      <c r="D9" s="10">
        <f>CF_MODEL!D7/(1+WACC)^2</f>
        <v>88758.487654320983</v>
      </c>
      <c r="E9" s="10">
        <f>CF_MODEL!E7/(1+WACC)^3</f>
        <v>86292.97410836762</v>
      </c>
      <c r="F9" s="10">
        <f>CF_MODEL!F7/(1+WACC)^4</f>
        <v>83895.947049801849</v>
      </c>
      <c r="G9" s="10">
        <f>CF_MODEL!G7/(1+WACC)^5</f>
        <v>81565.504076196245</v>
      </c>
      <c r="H9" s="10">
        <f>CF_MODEL!H7/(1+WACC)^6</f>
        <v>79299.795629635235</v>
      </c>
      <c r="I9" s="10">
        <f>CF_MODEL!I7/(1+WACC)^7</f>
        <v>77097.023528812031</v>
      </c>
      <c r="J9" s="10">
        <f>CF_MODEL!J7/(1+WACC)^8</f>
        <v>74955.439541900589</v>
      </c>
      <c r="K9" s="10">
        <f>CF_MODEL!K7/(1+WACC)^9</f>
        <v>72873.343999070014</v>
      </c>
      <c r="L9" s="10">
        <f>CF_MODEL!L7/(1+WACC)^10</f>
        <v>70849.084443540298</v>
      </c>
      <c r="M9" s="10">
        <f>CF_MODEL!M7/(1+WACC)^11</f>
        <v>68881.054320108626</v>
      </c>
      <c r="N9" s="10">
        <f>CF_MODEL!N7/(1+WACC)^12</f>
        <v>66967.691700105599</v>
      </c>
      <c r="O9" s="10">
        <f>CF_MODEL!O7/(1+WACC)^13</f>
        <v>65107.47804176934</v>
      </c>
      <c r="P9" s="10">
        <f>CF_MODEL!P7/(1+WACC)^14</f>
        <v>63298.936985053508</v>
      </c>
      <c r="Q9" s="10">
        <f>CF_MODEL!Q7/(1+WACC)^15</f>
        <v>61540.633179913137</v>
      </c>
    </row>
    <row r="10" spans="1:17" x14ac:dyDescent="0.25">
      <c r="A10" s="11" t="s">
        <v>131</v>
      </c>
      <c r="B10" s="10">
        <f>B9</f>
        <v>-590571</v>
      </c>
      <c r="C10" s="10">
        <f>CF_MODEL!B10+CF_MODEL!C9</f>
        <v>-499276.55555555556</v>
      </c>
      <c r="D10" s="10">
        <f>CF_MODEL!C10+CF_MODEL!D9</f>
        <v>-410518.06790123461</v>
      </c>
      <c r="E10" s="10">
        <f>CF_MODEL!D10+CF_MODEL!E9</f>
        <v>-324225.09379286697</v>
      </c>
      <c r="F10" s="10">
        <f>CF_MODEL!E10+CF_MODEL!F9</f>
        <v>-240329.14674306512</v>
      </c>
      <c r="G10" s="10">
        <f>CF_MODEL!F10+CF_MODEL!G9</f>
        <v>-158763.64266686887</v>
      </c>
      <c r="H10" s="10">
        <f>CF_MODEL!G10+CF_MODEL!H9</f>
        <v>-79463.847037233631</v>
      </c>
      <c r="I10" s="10">
        <f>CF_MODEL!H10+CF_MODEL!I9</f>
        <v>-2366.8235084215994</v>
      </c>
      <c r="J10" s="10">
        <f>CF_MODEL!I10+CF_MODEL!J9</f>
        <v>72588.616033478989</v>
      </c>
      <c r="K10" s="10">
        <f>CF_MODEL!J10+CF_MODEL!K9</f>
        <v>145461.96003254899</v>
      </c>
      <c r="L10" s="10">
        <f>CF_MODEL!K10+CF_MODEL!L9</f>
        <v>216311.0444760893</v>
      </c>
      <c r="M10" s="10">
        <f>CF_MODEL!L10+CF_MODEL!M9</f>
        <v>285192.09879619791</v>
      </c>
      <c r="N10" s="10">
        <f>CF_MODEL!M10+CF_MODEL!N9</f>
        <v>352159.79049630353</v>
      </c>
      <c r="O10" s="10">
        <f>CF_MODEL!N10+CF_MODEL!O9</f>
        <v>417267.26853807288</v>
      </c>
      <c r="P10" s="10">
        <f>CF_MODEL!O10+CF_MODEL!P9</f>
        <v>480566.20552312641</v>
      </c>
      <c r="Q10" s="10">
        <f>CF_MODEL!P10+CF_MODEL!Q9</f>
        <v>542106.83870303957</v>
      </c>
    </row>
    <row r="13" spans="1:17" ht="15.75" x14ac:dyDescent="0.25">
      <c r="A13" s="7" t="s">
        <v>132</v>
      </c>
      <c r="B13" s="12">
        <f>SUM(B9:Q9)</f>
        <v>542106.83870303957</v>
      </c>
    </row>
    <row r="14" spans="1:17" ht="15.75" x14ac:dyDescent="0.25">
      <c r="A14" s="7" t="s">
        <v>133</v>
      </c>
      <c r="B14" s="4">
        <f>IRR(B7:Q7)</f>
        <v>0.19207045538512912</v>
      </c>
    </row>
    <row r="15" spans="1:17" ht="15.75" x14ac:dyDescent="0.25">
      <c r="A15" s="7" t="s">
        <v>134</v>
      </c>
      <c r="B15" s="3">
        <f>IFERROR(COUNTIF(B10:Q10,"&lt;0"),"")</f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5"/>
  <sheetViews>
    <sheetView zoomScale="175" zoomScaleNormal="175" workbookViewId="0"/>
  </sheetViews>
  <sheetFormatPr baseColWidth="10" defaultColWidth="8.7109375" defaultRowHeight="15" x14ac:dyDescent="0.25"/>
  <cols>
    <col min="1" max="2" width="36.7109375" customWidth="1"/>
  </cols>
  <sheetData>
    <row r="1" spans="1:2" ht="18.75" x14ac:dyDescent="0.3">
      <c r="A1" s="1" t="s">
        <v>135</v>
      </c>
    </row>
    <row r="3" spans="1:2" x14ac:dyDescent="0.25">
      <c r="A3" s="2" t="s">
        <v>136</v>
      </c>
      <c r="B3" s="2" t="s">
        <v>3</v>
      </c>
    </row>
    <row r="4" spans="1:2" x14ac:dyDescent="0.25">
      <c r="A4" t="s">
        <v>137</v>
      </c>
      <c r="B4" s="12">
        <f>CF_MODEL!B13</f>
        <v>542106.83870303957</v>
      </c>
    </row>
    <row r="5" spans="1:2" x14ac:dyDescent="0.25">
      <c r="A5" t="s">
        <v>138</v>
      </c>
      <c r="B5" s="4">
        <f>CF_MODEL!B14</f>
        <v>0.19207045538512912</v>
      </c>
    </row>
    <row r="6" spans="1:2" x14ac:dyDescent="0.25">
      <c r="A6" t="s">
        <v>139</v>
      </c>
      <c r="B6" s="3">
        <f>CF_MODEL!B15</f>
        <v>8</v>
      </c>
    </row>
    <row r="7" spans="1:2" x14ac:dyDescent="0.25">
      <c r="A7" t="s">
        <v>32</v>
      </c>
      <c r="B7" s="4">
        <f>TIR_OBJ</f>
        <v>0.08</v>
      </c>
    </row>
    <row r="8" spans="1:2" x14ac:dyDescent="0.25">
      <c r="A8" t="s">
        <v>140</v>
      </c>
      <c r="B8">
        <f>IFERROR(B5/B7,0)</f>
        <v>2.4008806923141139</v>
      </c>
    </row>
    <row r="10" spans="1:2" ht="18.75" x14ac:dyDescent="0.3">
      <c r="A10" s="1" t="s">
        <v>141</v>
      </c>
    </row>
    <row r="11" spans="1:2" x14ac:dyDescent="0.25">
      <c r="A11" t="s">
        <v>142</v>
      </c>
      <c r="B11" s="12">
        <f>CAPEX_BASE</f>
        <v>590571</v>
      </c>
    </row>
    <row r="12" spans="1:2" x14ac:dyDescent="0.25">
      <c r="A12" t="s">
        <v>143</v>
      </c>
      <c r="B12" s="12">
        <f>CAPEX_TOTAL</f>
        <v>590571</v>
      </c>
    </row>
    <row r="13" spans="1:2" x14ac:dyDescent="0.25">
      <c r="A13" t="s">
        <v>144</v>
      </c>
      <c r="B13" s="12">
        <f>AhorroBase</f>
        <v>98598</v>
      </c>
    </row>
    <row r="14" spans="1:2" x14ac:dyDescent="0.25">
      <c r="A14" t="s">
        <v>145</v>
      </c>
      <c r="B14" t="str">
        <f>ScenarioSel</f>
        <v>Base</v>
      </c>
    </row>
    <row r="15" spans="1:2" x14ac:dyDescent="0.25">
      <c r="A15" t="s">
        <v>146</v>
      </c>
      <c r="B15" s="5">
        <f>CAPEX_MULT</f>
        <v>1</v>
      </c>
    </row>
  </sheetData>
  <conditionalFormatting sqref="B8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2"/>
  <sheetViews>
    <sheetView workbookViewId="0">
      <selection activeCell="E35" sqref="E35"/>
    </sheetView>
  </sheetViews>
  <sheetFormatPr baseColWidth="10" defaultColWidth="8.7109375" defaultRowHeight="15" x14ac:dyDescent="0.25"/>
  <cols>
    <col min="1" max="1" width="34.5703125" bestFit="1" customWidth="1"/>
    <col min="2" max="7" width="32.140625" customWidth="1"/>
    <col min="8" max="8" width="38.85546875" bestFit="1" customWidth="1"/>
    <col min="9" max="9" width="43.42578125" bestFit="1" customWidth="1"/>
    <col min="10" max="10" width="48.42578125" bestFit="1" customWidth="1"/>
    <col min="11" max="11" width="53.85546875" bestFit="1" customWidth="1"/>
    <col min="12" max="12" width="58.85546875" bestFit="1" customWidth="1"/>
    <col min="13" max="13" width="63.42578125" bestFit="1" customWidth="1"/>
    <col min="14" max="14" width="68" bestFit="1" customWidth="1"/>
    <col min="15" max="15" width="74" bestFit="1" customWidth="1"/>
    <col min="16" max="16" width="78.5703125" bestFit="1" customWidth="1"/>
    <col min="17" max="17" width="83.5703125" bestFit="1" customWidth="1"/>
    <col min="18" max="18" width="14.7109375" customWidth="1"/>
    <col min="19" max="19" width="7.42578125" bestFit="1" customWidth="1"/>
    <col min="20" max="20" width="18.42578125" bestFit="1" customWidth="1"/>
    <col min="21" max="25" width="14.7109375" customWidth="1"/>
    <col min="26" max="26" width="11.85546875" bestFit="1" customWidth="1"/>
  </cols>
  <sheetData>
    <row r="1" spans="1:26" ht="18.75" x14ac:dyDescent="0.3">
      <c r="A1" s="1" t="s">
        <v>147</v>
      </c>
    </row>
    <row r="2" spans="1:26" x14ac:dyDescent="0.25">
      <c r="Z2">
        <f>INDICADORES!B4</f>
        <v>542106.83870303957</v>
      </c>
    </row>
    <row r="3" spans="1:26" x14ac:dyDescent="0.25">
      <c r="A3" s="2" t="s">
        <v>21</v>
      </c>
      <c r="B3" s="2" t="s">
        <v>148</v>
      </c>
      <c r="C3" s="2" t="s">
        <v>149</v>
      </c>
      <c r="D3" s="2" t="s">
        <v>150</v>
      </c>
      <c r="E3" s="2" t="s">
        <v>151</v>
      </c>
      <c r="F3" s="2" t="s">
        <v>152</v>
      </c>
    </row>
    <row r="4" spans="1:26" x14ac:dyDescent="0.25">
      <c r="A4" t="s">
        <v>153</v>
      </c>
      <c r="B4" t="s">
        <v>154</v>
      </c>
      <c r="C4">
        <v>0.75</v>
      </c>
      <c r="D4">
        <v>1</v>
      </c>
      <c r="E4">
        <v>1</v>
      </c>
      <c r="F4">
        <v>1</v>
      </c>
    </row>
    <row r="5" spans="1:26" x14ac:dyDescent="0.25">
      <c r="A5" t="s">
        <v>153</v>
      </c>
      <c r="B5" t="s">
        <v>155</v>
      </c>
      <c r="C5">
        <v>1.25</v>
      </c>
      <c r="D5">
        <v>1</v>
      </c>
      <c r="E5">
        <v>1</v>
      </c>
      <c r="F5">
        <v>1</v>
      </c>
    </row>
    <row r="6" spans="1:26" x14ac:dyDescent="0.25">
      <c r="A6" s="9" t="s">
        <v>158</v>
      </c>
      <c r="B6" t="s">
        <v>154</v>
      </c>
      <c r="C6">
        <v>1</v>
      </c>
      <c r="D6">
        <v>0.75</v>
      </c>
      <c r="E6">
        <v>1</v>
      </c>
      <c r="F6">
        <v>1</v>
      </c>
    </row>
    <row r="7" spans="1:26" x14ac:dyDescent="0.25">
      <c r="A7" t="s">
        <v>159</v>
      </c>
      <c r="B7" s="2">
        <v>0</v>
      </c>
      <c r="C7" s="2"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2">
        <v>12</v>
      </c>
      <c r="O7" s="2">
        <v>13</v>
      </c>
      <c r="P7" s="2">
        <v>14</v>
      </c>
      <c r="Q7" s="2">
        <v>15</v>
      </c>
      <c r="S7" s="2" t="s">
        <v>160</v>
      </c>
      <c r="T7" s="2" t="s">
        <v>161</v>
      </c>
    </row>
    <row r="8" spans="1:26" x14ac:dyDescent="0.25">
      <c r="A8" t="s">
        <v>37</v>
      </c>
      <c r="B8" s="10">
        <f>-CAPEX_TOTAL*$C$4</f>
        <v>-442928.25</v>
      </c>
      <c r="C8" s="10">
        <f>AhorroBase*$D$4</f>
        <v>98598</v>
      </c>
      <c r="D8" s="10">
        <f>SENS!C8*(1+EscOPEX*$F$4)</f>
        <v>103527.90000000001</v>
      </c>
      <c r="E8" s="10">
        <f>SENS!D8*(1+EscOPEX*$F$4)</f>
        <v>108704.29500000001</v>
      </c>
      <c r="F8" s="10">
        <f>SENS!E8*(1+EscOPEX*$F$4)</f>
        <v>114139.50975000001</v>
      </c>
      <c r="G8" s="10">
        <f>SENS!F8*(1+EscOPEX*$F$4)</f>
        <v>119846.48523750002</v>
      </c>
      <c r="H8" s="10">
        <f>SENS!G8*(1+EscOPEX*$F$4)</f>
        <v>125838.80949937503</v>
      </c>
      <c r="I8" s="10">
        <f>SENS!H8*(1+EscOPEX*$F$4)</f>
        <v>132130.74997434378</v>
      </c>
      <c r="J8" s="10">
        <f>SENS!I8*(1+EscOPEX*$F$4)</f>
        <v>138737.28747306098</v>
      </c>
      <c r="K8" s="10">
        <f>SENS!J8*(1+EscOPEX*$F$4)</f>
        <v>145674.15184671403</v>
      </c>
      <c r="L8" s="10">
        <f>SENS!K8*(1+EscOPEX*$F$4)</f>
        <v>152957.85943904973</v>
      </c>
      <c r="M8" s="10">
        <f>SENS!L8*(1+EscOPEX*$F$4)</f>
        <v>160605.75241100224</v>
      </c>
      <c r="N8" s="10">
        <f>SENS!M8*(1+EscOPEX*$F$4)</f>
        <v>168636.04003155234</v>
      </c>
      <c r="O8" s="10">
        <f>SENS!N8*(1+EscOPEX*$F$4)</f>
        <v>177067.84203312997</v>
      </c>
      <c r="P8" s="10">
        <f>SENS!O8*(1+EscOPEX*$F$4)</f>
        <v>185921.23413478647</v>
      </c>
      <c r="Q8" s="10">
        <f>SENS!P8*(1+EscOPEX*$F$4) + CAPEX_TOTAL*ValorResidualPct*$C$4</f>
        <v>195217.2958415258</v>
      </c>
      <c r="S8" s="4">
        <f t="shared" ref="S8:S15" si="0">IRR(B8:Q8)</f>
        <v>0.25776705178870696</v>
      </c>
      <c r="T8" s="12">
        <f>B8+C8/(1+WACC*$E$4)^1+D8/(1+WACC*$E$4)^2+E8/(1+WACC*$E$4)^3+F8/(1+WACC*$E$4)^4+G8/(1+WACC*$E$4)^5+H8/(1+WACC*$E$4)^6+I8/(1+WACC*$E$4)^7+J8/(1+WACC*$E$4)^8+K8/(1+WACC*$E$4)^9+L8/(1+WACC*$E$4)^10+M8/(1+WACC*$E$4)^11+N8/(1+WACC*$E$4)^12+O8/(1+WACC*$E$4)^13+P8/(1+WACC*$E$4)^14+Q8/(1+WACC*$E$4)^15</f>
        <v>689749.58870303945</v>
      </c>
    </row>
    <row r="9" spans="1:26" x14ac:dyDescent="0.25">
      <c r="A9" t="s">
        <v>37</v>
      </c>
      <c r="B9" s="10">
        <f>-CAPEX_TOTAL*$C$5</f>
        <v>-738213.75</v>
      </c>
      <c r="C9" s="10">
        <f>AhorroBase*$D$5</f>
        <v>98598</v>
      </c>
      <c r="D9" s="10">
        <f>SENS!C9*(1+EscOPEX*$F$5)</f>
        <v>103527.90000000001</v>
      </c>
      <c r="E9" s="10">
        <f>SENS!D9*(1+EscOPEX*$F$5)</f>
        <v>108704.29500000001</v>
      </c>
      <c r="F9" s="10">
        <f>SENS!E9*(1+EscOPEX*$F$5)</f>
        <v>114139.50975000001</v>
      </c>
      <c r="G9" s="10">
        <f>SENS!F9*(1+EscOPEX*$F$5)</f>
        <v>119846.48523750002</v>
      </c>
      <c r="H9" s="10">
        <f>SENS!G9*(1+EscOPEX*$F$5)</f>
        <v>125838.80949937503</v>
      </c>
      <c r="I9" s="10">
        <f>SENS!H9*(1+EscOPEX*$F$5)</f>
        <v>132130.74997434378</v>
      </c>
      <c r="J9" s="10">
        <f>SENS!I9*(1+EscOPEX*$F$5)</f>
        <v>138737.28747306098</v>
      </c>
      <c r="K9" s="10">
        <f>SENS!J9*(1+EscOPEX*$F$5)</f>
        <v>145674.15184671403</v>
      </c>
      <c r="L9" s="10">
        <f>SENS!K9*(1+EscOPEX*$F$5)</f>
        <v>152957.85943904973</v>
      </c>
      <c r="M9" s="10">
        <f>SENS!L9*(1+EscOPEX*$F$5)</f>
        <v>160605.75241100224</v>
      </c>
      <c r="N9" s="10">
        <f>SENS!M9*(1+EscOPEX*$F$5)</f>
        <v>168636.04003155234</v>
      </c>
      <c r="O9" s="10">
        <f>SENS!N9*(1+EscOPEX*$F$5)</f>
        <v>177067.84203312997</v>
      </c>
      <c r="P9" s="10">
        <f>SENS!O9*(1+EscOPEX*$F$5)</f>
        <v>185921.23413478647</v>
      </c>
      <c r="Q9" s="10">
        <f>SENS!P9*(1+EscOPEX*$F$5) + CAPEX_TOTAL*ValorResidualPct*$C$5</f>
        <v>195217.2958415258</v>
      </c>
      <c r="S9" s="4">
        <f t="shared" si="0"/>
        <v>0.14898341222034994</v>
      </c>
      <c r="T9" s="12">
        <f>B9+C9/(1+WACC*$E$5)^1+D9/(1+WACC*$E$5)^2+E9/(1+WACC*$E$5)^3+F9/(1+WACC*$E$5)^4+G9/(1+WACC*$E$5)^5+H9/(1+WACC*$E$5)^6+I9/(1+WACC*$E$5)^7+J9/(1+WACC*$E$5)^8+K9/(1+WACC*$E$5)^9+L9/(1+WACC*$E$5)^10+M9/(1+WACC*$E$5)^11+N9/(1+WACC*$E$5)^12+O9/(1+WACC*$E$5)^13+P9/(1+WACC*$E$5)^14+Q9/(1+WACC*$E$5)^15</f>
        <v>394464.08870303968</v>
      </c>
    </row>
    <row r="10" spans="1:26" x14ac:dyDescent="0.25">
      <c r="A10" t="s">
        <v>157</v>
      </c>
      <c r="B10" s="10">
        <f>-CAPEX_TOTAL*$C$6</f>
        <v>-590571</v>
      </c>
      <c r="C10" s="10">
        <f>AhorroBase*$D$6</f>
        <v>73948.5</v>
      </c>
      <c r="D10" s="10">
        <f>SENS!C10*(1+EscOPEX*$F$6)</f>
        <v>77645.925000000003</v>
      </c>
      <c r="E10" s="10">
        <f>SENS!D10*(1+EscOPEX*$F$6)</f>
        <v>81528.221250000002</v>
      </c>
      <c r="F10" s="10">
        <f>SENS!E10*(1+EscOPEX*$F$6)</f>
        <v>85604.632312500005</v>
      </c>
      <c r="G10" s="10">
        <f>SENS!F10*(1+EscOPEX*$F$6)</f>
        <v>89884.863928125007</v>
      </c>
      <c r="H10" s="10">
        <f>SENS!G10*(1+EscOPEX*$F$6)</f>
        <v>94379.107124531263</v>
      </c>
      <c r="I10" s="10">
        <f>SENS!H10*(1+EscOPEX*$F$6)</f>
        <v>99098.062480757828</v>
      </c>
      <c r="J10" s="10">
        <f>SENS!I10*(1+EscOPEX*$F$6)</f>
        <v>104052.96560479573</v>
      </c>
      <c r="K10" s="10">
        <f>SENS!J10*(1+EscOPEX*$F$6)</f>
        <v>109255.61388503552</v>
      </c>
      <c r="L10" s="10">
        <f>SENS!K10*(1+EscOPEX*$F$6)</f>
        <v>114718.3945792873</v>
      </c>
      <c r="M10" s="10">
        <f>SENS!L10*(1+EscOPEX*$F$6)</f>
        <v>120454.31430825166</v>
      </c>
      <c r="N10" s="10">
        <f>SENS!M10*(1+EscOPEX*$F$6)</f>
        <v>126477.03002366425</v>
      </c>
      <c r="O10" s="10">
        <f>SENS!N10*(1+EscOPEX*$F$6)</f>
        <v>132800.88152484747</v>
      </c>
      <c r="P10" s="10">
        <f>SENS!O10*(1+EscOPEX*$F$6)</f>
        <v>139440.92560108984</v>
      </c>
      <c r="Q10" s="10">
        <f>SENS!P10*(1+EscOPEX*$F$6) + CAPEX_TOTAL*ValorResidualPct*$C$6</f>
        <v>146412.97188114433</v>
      </c>
      <c r="S10" s="4">
        <f t="shared" si="0"/>
        <v>0.13755028046306617</v>
      </c>
      <c r="T10" s="12">
        <f>B10+C10/(1+WACC*$E$6)^1+D10/(1+WACC*$E$6)^2+E10/(1+WACC*$E$6)^3+F10/(1+WACC*$E$6)^4+G10/(1+WACC*$E$6)^5+H10/(1+WACC*$E$6)^6+I10/(1+WACC*$E$6)^7+J10/(1+WACC*$E$6)^8+K10/(1+WACC*$E$6)^9+L10/(1+WACC*$E$6)^10+M10/(1+WACC*$E$6)^11+N10/(1+WACC*$E$6)^12+O10/(1+WACC*$E$6)^13+P10/(1+WACC*$E$6)^14+Q10/(1+WACC*$E$6)^15</f>
        <v>258937.37902727959</v>
      </c>
    </row>
    <row r="11" spans="1:26" x14ac:dyDescent="0.25">
      <c r="A11" t="s">
        <v>157</v>
      </c>
      <c r="B11" s="10">
        <f>-CAPEX_TOTAL*$C$7</f>
        <v>-590571</v>
      </c>
      <c r="C11" s="10">
        <f>AhorroBase*$D$7</f>
        <v>197196</v>
      </c>
      <c r="D11" s="10">
        <f>SENS!C11*(1+EscOPEX*$F$7)</f>
        <v>236635.19999999998</v>
      </c>
      <c r="E11" s="10">
        <f>SENS!D11*(1+EscOPEX*$F$7)</f>
        <v>283962.23999999999</v>
      </c>
      <c r="F11" s="10">
        <f>SENS!E11*(1+EscOPEX*$F$7)</f>
        <v>340754.68799999997</v>
      </c>
      <c r="G11" s="10">
        <f>SENS!F11*(1+EscOPEX*$F$7)</f>
        <v>408905.62559999997</v>
      </c>
      <c r="H11" s="10">
        <f>SENS!G11*(1+EscOPEX*$F$7)</f>
        <v>490686.75071999995</v>
      </c>
      <c r="I11" s="10">
        <f>SENS!H11*(1+EscOPEX*$F$7)</f>
        <v>588824.10086399992</v>
      </c>
      <c r="J11" s="10">
        <f>SENS!I11*(1+EscOPEX*$F$7)</f>
        <v>706588.9210367999</v>
      </c>
      <c r="K11" s="10">
        <f>SENS!J11*(1+EscOPEX*$F$7)</f>
        <v>847906.70524415991</v>
      </c>
      <c r="L11" s="10">
        <f>SENS!K11*(1+EscOPEX*$F$7)</f>
        <v>1017488.0462929918</v>
      </c>
      <c r="M11" s="10">
        <f>SENS!L11*(1+EscOPEX*$F$7)</f>
        <v>1220985.6555515903</v>
      </c>
      <c r="N11" s="10">
        <f>SENS!M11*(1+EscOPEX*$F$7)</f>
        <v>1465182.7866619083</v>
      </c>
      <c r="O11" s="10">
        <f>SENS!N11*(1+EscOPEX*$F$7)</f>
        <v>1758219.3439942899</v>
      </c>
      <c r="P11" s="10">
        <f>SENS!O11*(1+EscOPEX*$F$7)</f>
        <v>2109863.2127931477</v>
      </c>
      <c r="Q11" s="10">
        <f>SENS!P11*(1+EscOPEX*$F$7) + CAPEX_TOTAL*ValorResidualPct*$C$7</f>
        <v>2531835.8553517773</v>
      </c>
      <c r="S11" s="4">
        <f t="shared" si="0"/>
        <v>0.52471295570914078</v>
      </c>
      <c r="T11" s="12">
        <f>B11+C11/(1+WACC*$E$7)^1+D11/(1+WACC*$E$7)^2+E11/(1+WACC*$E$7)^3+F11/(1+WACC*$E$7)^4+G11/(1+WACC*$E$7)^5+H11/(1+WACC*$E$7)^6+I11/(1+WACC*$E$7)^7+J11/(1+WACC*$E$7)^8+K11/(1+WACC*$E$7)^9+L11/(1+WACC*$E$7)^10+M11/(1+WACC*$E$7)^11+N11/(1+WACC*$E$7)^12+O11/(1+WACC*$E$7)^13+P11/(1+WACC*$E$7)^14+Q11/(1+WACC*$E$7)^15</f>
        <v>1324716.3081031388</v>
      </c>
    </row>
    <row r="12" spans="1:26" x14ac:dyDescent="0.25">
      <c r="B12" s="10">
        <f>-CAPEX_TOTAL*$C$8</f>
        <v>-58229119458</v>
      </c>
      <c r="C12" s="10">
        <f>AhorroBase*$D$8</f>
        <v>10207643884.200001</v>
      </c>
      <c r="D12" s="10">
        <f>SENS!C12*(1+EscOPEX*$F$8)</f>
        <v>58264981076142.898</v>
      </c>
      <c r="E12" s="10">
        <f>SENS!D12*(1+EscOPEX*$F$8)</f>
        <v>3.3257508376227507E+17</v>
      </c>
      <c r="F12" s="10">
        <f>SENS!E12*(1+EscOPEX*$F$8)</f>
        <v>1.8983304258683257E+21</v>
      </c>
      <c r="G12" s="10">
        <f>SENS!F12*(1+EscOPEX*$F$8)</f>
        <v>1.083562353803184E+25</v>
      </c>
      <c r="H12" s="10">
        <f>SENS!G12*(1+EscOPEX*$F$8)</f>
        <v>6.184947354686378E+28</v>
      </c>
      <c r="I12" s="10">
        <f>SENS!H12*(1+EscOPEX*$F$8)</f>
        <v>3.5303527892027821E+32</v>
      </c>
      <c r="J12" s="10">
        <f>SENS!I12*(1+EscOPEX*$F$8)</f>
        <v>2.0151167182996736E+36</v>
      </c>
      <c r="K12" s="10">
        <f>SENS!J12*(1+EscOPEX*$F$8)</f>
        <v>1.1502236832505981E+40</v>
      </c>
      <c r="L12" s="10">
        <f>SENS!K12*(1+EscOPEX*$F$8)</f>
        <v>6.5654485891363794E+43</v>
      </c>
      <c r="M12" s="10">
        <f>SENS!L12*(1+EscOPEX*$F$8)</f>
        <v>3.747541961123192E+47</v>
      </c>
      <c r="N12" s="10">
        <f>SENS!M12*(1+EscOPEX*$F$8)</f>
        <v>2.139087765246886E+51</v>
      </c>
      <c r="O12" s="10">
        <f>SENS!N12*(1+EscOPEX*$F$8)</f>
        <v>1.2209860529640381E+55</v>
      </c>
      <c r="P12" s="10">
        <f>SENS!O12*(1+EscOPEX*$F$8)</f>
        <v>6.9693584608981066E+58</v>
      </c>
      <c r="Q12" s="10">
        <f>SENS!P12*(1+EscOPEX*$F$8) + CAPEX_TOTAL*ValorResidualPct*$C$8</f>
        <v>3.9780927258407126E+62</v>
      </c>
      <c r="S12" s="4" t="e">
        <f t="shared" si="0"/>
        <v>#NUM!</v>
      </c>
      <c r="T12" s="12">
        <f>B12+C12/(1+WACC*$E$8)^1+D12/(1+WACC*$E$8)^2+E12/(1+WACC*$E$8)^3+F12/(1+WACC*$E$8)^4+G12/(1+WACC*$E$8)^5+H12/(1+WACC*$E$8)^6+I12/(1+WACC*$E$8)^7+J12/(1+WACC*$E$8)^8+K12/(1+WACC*$E$8)^9+L12/(1+WACC*$E$8)^10+M12/(1+WACC*$E$8)^11+N12/(1+WACC*$E$8)^12+O12/(1+WACC*$E$8)^13+P12/(1+WACC*$E$8)^14+Q12/(1+WACC*$E$8)^15</f>
        <v>-58225710971.450951</v>
      </c>
    </row>
    <row r="13" spans="1:26" x14ac:dyDescent="0.25">
      <c r="B13" s="10">
        <f>-CAPEX_TOTAL*$C$9</f>
        <v>-58229119458</v>
      </c>
      <c r="C13" s="10">
        <f>AhorroBase*$D$9</f>
        <v>10207643884.200001</v>
      </c>
      <c r="D13" s="10">
        <f>SENS!C13*(1+EscOPEX*$F$9)</f>
        <v>58264981076142.898</v>
      </c>
      <c r="E13" s="10">
        <f>SENS!D13*(1+EscOPEX*$F$9)</f>
        <v>3.3257508376227507E+17</v>
      </c>
      <c r="F13" s="10">
        <f>SENS!E13*(1+EscOPEX*$F$9)</f>
        <v>1.8983304258683257E+21</v>
      </c>
      <c r="G13" s="10">
        <f>SENS!F13*(1+EscOPEX*$F$9)</f>
        <v>1.083562353803184E+25</v>
      </c>
      <c r="H13" s="10">
        <f>SENS!G13*(1+EscOPEX*$F$9)</f>
        <v>6.184947354686378E+28</v>
      </c>
      <c r="I13" s="10">
        <f>SENS!H13*(1+EscOPEX*$F$9)</f>
        <v>3.5303527892027821E+32</v>
      </c>
      <c r="J13" s="10">
        <f>SENS!I13*(1+EscOPEX*$F$9)</f>
        <v>2.0151167182996736E+36</v>
      </c>
      <c r="K13" s="10">
        <f>SENS!J13*(1+EscOPEX*$F$9)</f>
        <v>1.1502236832505981E+40</v>
      </c>
      <c r="L13" s="10">
        <f>SENS!K13*(1+EscOPEX*$F$9)</f>
        <v>6.5654485891363794E+43</v>
      </c>
      <c r="M13" s="10">
        <f>SENS!L13*(1+EscOPEX*$F$9)</f>
        <v>3.747541961123192E+47</v>
      </c>
      <c r="N13" s="10">
        <f>SENS!M13*(1+EscOPEX*$F$9)</f>
        <v>2.139087765246886E+51</v>
      </c>
      <c r="O13" s="10">
        <f>SENS!N13*(1+EscOPEX*$F$9)</f>
        <v>1.2209860529640381E+55</v>
      </c>
      <c r="P13" s="10">
        <f>SENS!O13*(1+EscOPEX*$F$9)</f>
        <v>6.9693584608981066E+58</v>
      </c>
      <c r="Q13" s="10">
        <f>SENS!P13*(1+EscOPEX*$F$9) + CAPEX_TOTAL*ValorResidualPct*$C$9</f>
        <v>3.9780927258407126E+62</v>
      </c>
      <c r="S13" s="4" t="e">
        <f t="shared" si="0"/>
        <v>#NUM!</v>
      </c>
      <c r="T13" s="12">
        <f>B13+C13/(1+WACC*$E$9)^1+D13/(1+WACC*$E$9)^2+E13/(1+WACC*$E$9)^3+F13/(1+WACC*$E$9)^4+G13/(1+WACC*$E$9)^5+H13/(1+WACC*$E$9)^6+I13/(1+WACC*$E$9)^7+J13/(1+WACC*$E$9)^8+K13/(1+WACC*$E$9)^9+L13/(1+WACC*$E$9)^10+M13/(1+WACC*$E$9)^11+N13/(1+WACC*$E$9)^12+O13/(1+WACC*$E$9)^13+P13/(1+WACC*$E$9)^14+Q13/(1+WACC*$E$9)^15</f>
        <v>-58225710971.450951</v>
      </c>
    </row>
    <row r="14" spans="1:26" x14ac:dyDescent="0.25">
      <c r="B14" s="10">
        <f>-CAPEX_TOTAL*$C$10</f>
        <v>-43671839593.5</v>
      </c>
      <c r="C14" s="10">
        <f>AhorroBase*$D$10</f>
        <v>7655732913.1500006</v>
      </c>
      <c r="D14" s="10">
        <f>SENS!C14*(1+EscOPEX*$F$10)</f>
        <v>32775965788558.672</v>
      </c>
      <c r="E14" s="10">
        <f>SENS!D14*(1+EscOPEX*$F$10)</f>
        <v>1.403215009666208E+17</v>
      </c>
      <c r="F14" s="10">
        <f>SENS!E14*(1+EscOPEX*$F$10)</f>
        <v>6.0074884629025102E+20</v>
      </c>
      <c r="G14" s="10">
        <f>SENS!F14*(1+EscOPEX*$F$10)</f>
        <v>2.5719449537880665E+24</v>
      </c>
      <c r="H14" s="10">
        <f>SENS!G14*(1+EscOPEX*$F$10)</f>
        <v>1.1011092049804653E+28</v>
      </c>
      <c r="I14" s="10">
        <f>SENS!H14*(1+EscOPEX*$F$10)</f>
        <v>4.714103540618078E+31</v>
      </c>
      <c r="J14" s="10">
        <f>SENS!I14*(1+EscOPEX*$F$10)</f>
        <v>2.018216911742387E+35</v>
      </c>
      <c r="K14" s="10">
        <f>SENS!J14*(1+EscOPEX*$F$10)</f>
        <v>8.6404540497405599E+38</v>
      </c>
      <c r="L14" s="10">
        <f>SENS!K14*(1+EscOPEX*$F$10)</f>
        <v>3.6991785051104361E+42</v>
      </c>
      <c r="M14" s="10">
        <f>SENS!L14*(1+EscOPEX*$F$10)</f>
        <v>1.5837039967919228E+46</v>
      </c>
      <c r="N14" s="10">
        <f>SENS!M14*(1+EscOPEX*$F$10)</f>
        <v>6.7802036208572549E+49</v>
      </c>
      <c r="O14" s="10">
        <f>SENS!N14*(1+EscOPEX*$F$10)</f>
        <v>2.9027622101989188E+53</v>
      </c>
      <c r="P14" s="10">
        <f>SENS!O14*(1+EscOPEX*$F$10)</f>
        <v>1.2427397346945115E+57</v>
      </c>
      <c r="Q14" s="10">
        <f>SENS!P14*(1+EscOPEX*$F$10) + CAPEX_TOTAL*ValorResidualPct*$C$10</f>
        <v>5.3204566421675688E+60</v>
      </c>
      <c r="S14" s="4" t="e">
        <f t="shared" si="0"/>
        <v>#NUM!</v>
      </c>
      <c r="T14" s="12">
        <f>B14+C14/(1+WACC*$E$10)^1+D14/(1+WACC*$E$10)^2+E14/(1+WACC*$E$10)^3+F14/(1+WACC*$E$10)^4+G14/(1+WACC*$E$10)^5+H14/(1+WACC*$E$10)^6+I14/(1+WACC*$E$10)^7+J14/(1+WACC*$E$10)^8+K14/(1+WACC*$E$10)^9+L14/(1+WACC*$E$10)^10+M14/(1+WACC*$E$10)^11+N14/(1+WACC*$E$10)^12+O14/(1+WACC*$E$10)^13+P14/(1+WACC*$E$10)^14+Q14/(1+WACC*$E$10)^15</f>
        <v>-43668431108.806625</v>
      </c>
    </row>
    <row r="15" spans="1:26" x14ac:dyDescent="0.25">
      <c r="B15" s="10">
        <f>-CAPEX_TOTAL*$C$11</f>
        <v>-116458238916</v>
      </c>
      <c r="C15" s="10">
        <f>AhorroBase*$D$11</f>
        <v>23331757449.599998</v>
      </c>
      <c r="D15" s="10">
        <f>SENS!C15*(1+EscOPEX*$F$11)</f>
        <v>397543618268955.69</v>
      </c>
      <c r="E15" s="10">
        <f>SENS!D15*(1+EscOPEX*$F$11)</f>
        <v>6.7736401240997222E+18</v>
      </c>
      <c r="F15" s="10">
        <f>SENS!E15*(1+EscOPEX*$F$11)</f>
        <v>1.154142549957182E+23</v>
      </c>
      <c r="G15" s="10">
        <f>SENS!F15*(1+EscOPEX*$F$11)</f>
        <v>1.9665128368459152E+27</v>
      </c>
      <c r="H15" s="10">
        <f>SENS!G15*(1+EscOPEX*$F$11)</f>
        <v>3.3506889921208078E+31</v>
      </c>
      <c r="I15" s="10">
        <f>SENS!H15*(1+EscOPEX*$F$11)</f>
        <v>5.7091499793750127E+35</v>
      </c>
      <c r="J15" s="10">
        <f>SENS!I15*(1+EscOPEX*$F$11)</f>
        <v>9.7276690148336308E+39</v>
      </c>
      <c r="K15" s="10">
        <f>SENS!J15*(1+EscOPEX*$F$11)</f>
        <v>1.6574716867485987E+44</v>
      </c>
      <c r="L15" s="10">
        <f>SENS!K15*(1+EscOPEX*$F$11)</f>
        <v>2.8241219846029369E+48</v>
      </c>
      <c r="M15" s="10">
        <f>SENS!L15*(1+EscOPEX*$F$11)</f>
        <v>4.8119464408850319E+52</v>
      </c>
      <c r="N15" s="10">
        <f>SENS!M15*(1+EscOPEX*$F$11)</f>
        <v>8.1989477353265347E+56</v>
      </c>
      <c r="O15" s="10">
        <f>SENS!N15*(1+EscOPEX*$F$11)</f>
        <v>1.396996928217103E+61</v>
      </c>
      <c r="P15" s="10">
        <f>SENS!O15*(1+EscOPEX*$F$11)</f>
        <v>2.3803059617507081E+65</v>
      </c>
      <c r="Q15" s="10">
        <f>SENS!P15*(1+EscOPEX*$F$11) + CAPEX_TOTAL*ValorResidualPct*$C$11</f>
        <v>4.0557401073006865E+69</v>
      </c>
      <c r="S15" s="4" t="e">
        <f t="shared" si="0"/>
        <v>#NUM!</v>
      </c>
      <c r="T15" s="12">
        <f>B15+C15/(1+WACC*$E$11)^1+D15/(1+WACC*$E$11)^2+E15/(1+WACC*$E$11)^3+F15/(1+WACC*$E$11)^4+G15/(1+WACC*$E$11)^5+H15/(1+WACC*$E$11)^6+I15/(1+WACC*$E$11)^7+J15/(1+WACC*$E$11)^8+K15/(1+WACC*$E$11)^9+L15/(1+WACC*$E$11)^10+M15/(1+WACC*$E$11)^11+N15/(1+WACC*$E$11)^12+O15/(1+WACC*$E$11)^13+P15/(1+WACC*$E$11)^14+Q15/(1+WACC*$E$11)^15</f>
        <v>-116454185578.52298</v>
      </c>
    </row>
    <row r="17" spans="1:3" ht="15.75" x14ac:dyDescent="0.25">
      <c r="A17" s="7" t="s">
        <v>162</v>
      </c>
    </row>
    <row r="18" spans="1:3" x14ac:dyDescent="0.25">
      <c r="A18" s="2" t="s">
        <v>21</v>
      </c>
      <c r="B18" s="2" t="s">
        <v>163</v>
      </c>
      <c r="C18" s="2" t="s">
        <v>164</v>
      </c>
    </row>
    <row r="19" spans="1:3" x14ac:dyDescent="0.25">
      <c r="A19" t="s">
        <v>153</v>
      </c>
      <c r="B19" s="12">
        <f>SENS!T8-SENS!Z$2</f>
        <v>147642.74999999988</v>
      </c>
      <c r="C19" s="12">
        <f>SENS!T9-SENS!Z$2</f>
        <v>-147642.74999999988</v>
      </c>
    </row>
    <row r="20" spans="1:3" x14ac:dyDescent="0.25">
      <c r="A20" t="s">
        <v>156</v>
      </c>
      <c r="B20" s="12">
        <f>SENS!T10-SENS!Z$2</f>
        <v>-283169.45967576001</v>
      </c>
      <c r="C20" s="12">
        <f>SENS!T11-SENS!Z$2</f>
        <v>782609.46940009925</v>
      </c>
    </row>
    <row r="21" spans="1:3" x14ac:dyDescent="0.25">
      <c r="A21" t="s">
        <v>37</v>
      </c>
      <c r="B21" s="12">
        <f>SENS!T12-SENS!Z$2</f>
        <v>-58226253078.28965</v>
      </c>
      <c r="C21" s="12">
        <f>SENS!T13-SENS!Z$2</f>
        <v>-58226253078.28965</v>
      </c>
    </row>
    <row r="22" spans="1:3" x14ac:dyDescent="0.25">
      <c r="A22" t="s">
        <v>157</v>
      </c>
      <c r="B22" s="12">
        <f>SENS!T14-SENS!Z$2</f>
        <v>-43668973215.645325</v>
      </c>
      <c r="C22" s="12">
        <f>SENS!T15-SENS!Z$2</f>
        <v>-116454727685.36168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H20"/>
  <sheetViews>
    <sheetView showGridLines="0" workbookViewId="0">
      <selection activeCell="O10" sqref="O10"/>
    </sheetView>
  </sheetViews>
  <sheetFormatPr baseColWidth="10" defaultColWidth="8.7109375" defaultRowHeight="15" x14ac:dyDescent="0.25"/>
  <cols>
    <col min="1" max="1" width="2.7109375" customWidth="1"/>
    <col min="2" max="2" width="34.7109375" customWidth="1"/>
    <col min="3" max="4" width="28.7109375" customWidth="1"/>
    <col min="5" max="5" width="34.7109375" customWidth="1"/>
    <col min="6" max="8" width="26.7109375" customWidth="1"/>
  </cols>
  <sheetData>
    <row r="2" spans="2:8" ht="27.95" customHeight="1" x14ac:dyDescent="0.25">
      <c r="B2" s="16" t="s">
        <v>165</v>
      </c>
      <c r="C2" s="16"/>
      <c r="D2" s="16"/>
      <c r="E2" s="16"/>
      <c r="F2" s="16"/>
      <c r="G2" s="16"/>
      <c r="H2" s="16"/>
    </row>
    <row r="4" spans="2:8" ht="15.75" x14ac:dyDescent="0.25">
      <c r="B4" s="7" t="s">
        <v>166</v>
      </c>
    </row>
    <row r="5" spans="2:8" x14ac:dyDescent="0.25">
      <c r="B5" s="2" t="s">
        <v>167</v>
      </c>
      <c r="C5" s="2" t="s">
        <v>16</v>
      </c>
      <c r="D5" s="2" t="s">
        <v>34</v>
      </c>
      <c r="E5" s="2" t="s">
        <v>168</v>
      </c>
      <c r="F5" s="2" t="s">
        <v>169</v>
      </c>
    </row>
    <row r="6" spans="2:8" x14ac:dyDescent="0.25">
      <c r="B6" s="20" t="s">
        <v>170</v>
      </c>
      <c r="C6" s="21"/>
      <c r="D6" t="str">
        <f>ResetSwitch</f>
        <v>No</v>
      </c>
      <c r="E6" t="str">
        <f>ScenarioSel</f>
        <v>Base</v>
      </c>
      <c r="F6" s="4">
        <f>ValorResidualPct</f>
        <v>0</v>
      </c>
      <c r="G6" s="4">
        <f>EscOPEX</f>
        <v>0.05</v>
      </c>
    </row>
    <row r="8" spans="2:8" ht="15.75" x14ac:dyDescent="0.25">
      <c r="B8" s="7" t="s">
        <v>171</v>
      </c>
    </row>
    <row r="9" spans="2:8" x14ac:dyDescent="0.25">
      <c r="B9" s="17" t="s">
        <v>137</v>
      </c>
      <c r="C9" s="17"/>
      <c r="D9" s="17" t="s">
        <v>172</v>
      </c>
      <c r="E9" s="17"/>
      <c r="F9" s="17" t="s">
        <v>173</v>
      </c>
      <c r="G9" s="17"/>
      <c r="H9" s="17" t="s">
        <v>174</v>
      </c>
    </row>
    <row r="10" spans="2:8" x14ac:dyDescent="0.25">
      <c r="B10" s="17"/>
      <c r="C10" s="17"/>
      <c r="D10" s="17"/>
      <c r="E10" s="17"/>
      <c r="F10" s="17"/>
      <c r="G10" s="17"/>
      <c r="H10" s="17"/>
    </row>
    <row r="11" spans="2:8" x14ac:dyDescent="0.25">
      <c r="B11" s="22">
        <f>INDICADORES!B4</f>
        <v>542106.83870303957</v>
      </c>
      <c r="C11" s="17"/>
      <c r="D11" s="18">
        <f>INDICADORES!B5</f>
        <v>0.19207045538512912</v>
      </c>
      <c r="E11" s="17"/>
      <c r="F11" s="23">
        <f>INDICADORES!B6</f>
        <v>8</v>
      </c>
      <c r="G11" s="17"/>
      <c r="H11" s="22">
        <f>INDICADORES!B12</f>
        <v>590571</v>
      </c>
    </row>
    <row r="12" spans="2:8" x14ac:dyDescent="0.25">
      <c r="B12" s="17"/>
      <c r="C12" s="17"/>
      <c r="D12" s="17"/>
      <c r="E12" s="17"/>
      <c r="F12" s="17"/>
      <c r="G12" s="17"/>
      <c r="H12" s="17"/>
    </row>
    <row r="14" spans="2:8" ht="15.75" x14ac:dyDescent="0.25">
      <c r="B14" s="7" t="s">
        <v>175</v>
      </c>
    </row>
    <row r="15" spans="2:8" x14ac:dyDescent="0.25">
      <c r="B15" s="17" t="s">
        <v>176</v>
      </c>
      <c r="C15" s="17"/>
      <c r="D15" s="17" t="s">
        <v>177</v>
      </c>
      <c r="E15" s="17"/>
    </row>
    <row r="16" spans="2:8" x14ac:dyDescent="0.25">
      <c r="B16" s="17"/>
      <c r="C16" s="17"/>
      <c r="D16" s="17"/>
      <c r="E16" s="17"/>
    </row>
    <row r="17" spans="2:8" x14ac:dyDescent="0.25">
      <c r="B17" s="18">
        <f>INDICADORES!B7</f>
        <v>0.08</v>
      </c>
      <c r="C17" s="17"/>
      <c r="D17" s="19">
        <f>INDICADORES!B8</f>
        <v>2.4008806923141139</v>
      </c>
      <c r="E17" s="17"/>
    </row>
    <row r="18" spans="2:8" x14ac:dyDescent="0.25">
      <c r="B18" s="17"/>
      <c r="C18" s="17"/>
      <c r="D18" s="17"/>
      <c r="E18" s="17"/>
    </row>
    <row r="20" spans="2:8" ht="15.75" x14ac:dyDescent="0.25">
      <c r="B20" s="7" t="s">
        <v>178</v>
      </c>
      <c r="H20" s="7" t="s">
        <v>179</v>
      </c>
    </row>
  </sheetData>
  <mergeCells count="14">
    <mergeCell ref="B15:C16"/>
    <mergeCell ref="B17:C18"/>
    <mergeCell ref="D15:E16"/>
    <mergeCell ref="D17:E18"/>
    <mergeCell ref="B2:H2"/>
    <mergeCell ref="B6:C6"/>
    <mergeCell ref="B9:C10"/>
    <mergeCell ref="B11:C12"/>
    <mergeCell ref="D9:E10"/>
    <mergeCell ref="D11:E12"/>
    <mergeCell ref="F9:G10"/>
    <mergeCell ref="F11:G12"/>
    <mergeCell ref="H9:H10"/>
    <mergeCell ref="H11:H12"/>
  </mergeCells>
  <hyperlinks>
    <hyperlink ref="B6" location="INPUTS!B4" display="INPUTS!B4" xr:uid="{00000000-0004-0000-0900-000000000000}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workbookViewId="0"/>
  </sheetViews>
  <sheetFormatPr baseColWidth="10" defaultColWidth="8.7109375" defaultRowHeight="15" x14ac:dyDescent="0.25"/>
  <cols>
    <col min="1" max="2" width="46.7109375" customWidth="1"/>
  </cols>
  <sheetData>
    <row r="1" spans="1:2" ht="18.75" x14ac:dyDescent="0.3">
      <c r="A1" s="1" t="s">
        <v>180</v>
      </c>
    </row>
    <row r="3" spans="1:2" x14ac:dyDescent="0.25">
      <c r="A3" s="2" t="s">
        <v>181</v>
      </c>
      <c r="B3" s="2" t="s">
        <v>182</v>
      </c>
    </row>
    <row r="4" spans="1:2" x14ac:dyDescent="0.25">
      <c r="A4" t="s">
        <v>211</v>
      </c>
      <c r="B4" t="s">
        <v>212</v>
      </c>
    </row>
    <row r="5" spans="1:2" x14ac:dyDescent="0.25">
      <c r="A5" t="s">
        <v>213</v>
      </c>
      <c r="B5" t="s">
        <v>214</v>
      </c>
    </row>
    <row r="6" spans="1:2" x14ac:dyDescent="0.25">
      <c r="A6" t="s">
        <v>215</v>
      </c>
      <c r="B6" t="s">
        <v>216</v>
      </c>
    </row>
    <row r="7" spans="1:2" x14ac:dyDescent="0.25">
      <c r="A7" t="s">
        <v>217</v>
      </c>
      <c r="B7" t="s">
        <v>218</v>
      </c>
    </row>
    <row r="8" spans="1:2" x14ac:dyDescent="0.25">
      <c r="A8" t="s">
        <v>219</v>
      </c>
      <c r="B8" t="s">
        <v>220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4"/>
  <sheetViews>
    <sheetView workbookViewId="0"/>
  </sheetViews>
  <sheetFormatPr baseColWidth="10" defaultColWidth="8.7109375" defaultRowHeight="15" x14ac:dyDescent="0.25"/>
  <cols>
    <col min="1" max="2" width="46.7109375" customWidth="1"/>
  </cols>
  <sheetData>
    <row r="1" spans="1:2" ht="18.75" x14ac:dyDescent="0.3">
      <c r="A1" s="1" t="s">
        <v>183</v>
      </c>
    </row>
    <row r="3" spans="1:2" x14ac:dyDescent="0.25">
      <c r="A3" s="2" t="s">
        <v>184</v>
      </c>
      <c r="B3" s="2" t="s">
        <v>185</v>
      </c>
    </row>
    <row r="4" spans="1:2" x14ac:dyDescent="0.25">
      <c r="A4" t="s">
        <v>186</v>
      </c>
      <c r="B4" t="s">
        <v>187</v>
      </c>
    </row>
    <row r="5" spans="1:2" x14ac:dyDescent="0.25">
      <c r="A5" t="s">
        <v>188</v>
      </c>
      <c r="B5" t="s">
        <v>189</v>
      </c>
    </row>
    <row r="6" spans="1:2" x14ac:dyDescent="0.25">
      <c r="A6" t="s">
        <v>190</v>
      </c>
      <c r="B6" t="s">
        <v>191</v>
      </c>
    </row>
    <row r="7" spans="1:2" x14ac:dyDescent="0.25">
      <c r="A7" t="s">
        <v>192</v>
      </c>
      <c r="B7" t="s">
        <v>193</v>
      </c>
    </row>
    <row r="8" spans="1:2" x14ac:dyDescent="0.25">
      <c r="A8" t="s">
        <v>194</v>
      </c>
      <c r="B8" t="s">
        <v>195</v>
      </c>
    </row>
    <row r="9" spans="1:2" x14ac:dyDescent="0.25">
      <c r="A9" t="s">
        <v>196</v>
      </c>
      <c r="B9" t="s">
        <v>197</v>
      </c>
    </row>
    <row r="10" spans="1:2" x14ac:dyDescent="0.25">
      <c r="A10" t="s">
        <v>198</v>
      </c>
      <c r="B10" t="s">
        <v>199</v>
      </c>
    </row>
    <row r="11" spans="1:2" x14ac:dyDescent="0.25">
      <c r="A11" t="s">
        <v>157</v>
      </c>
      <c r="B11" t="s">
        <v>200</v>
      </c>
    </row>
    <row r="12" spans="1:2" x14ac:dyDescent="0.25">
      <c r="A12" t="s">
        <v>37</v>
      </c>
      <c r="B12" t="s">
        <v>201</v>
      </c>
    </row>
    <row r="13" spans="1:2" x14ac:dyDescent="0.25">
      <c r="A13" t="s">
        <v>202</v>
      </c>
      <c r="B13" t="s">
        <v>203</v>
      </c>
    </row>
    <row r="14" spans="1:2" x14ac:dyDescent="0.25">
      <c r="A14" t="s">
        <v>204</v>
      </c>
      <c r="B14" t="s">
        <v>205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4"/>
  <sheetViews>
    <sheetView workbookViewId="0">
      <selection activeCell="H34" sqref="H34"/>
    </sheetView>
  </sheetViews>
  <sheetFormatPr baseColWidth="10" defaultColWidth="8.7109375" defaultRowHeight="15" x14ac:dyDescent="0.25"/>
  <cols>
    <col min="1" max="3" width="30.7109375" customWidth="1"/>
  </cols>
  <sheetData>
    <row r="1" spans="1:3" ht="18.75" x14ac:dyDescent="0.3">
      <c r="A1" s="1" t="s">
        <v>206</v>
      </c>
    </row>
    <row r="3" spans="1:3" x14ac:dyDescent="0.25">
      <c r="A3" s="2" t="s">
        <v>12</v>
      </c>
      <c r="B3" s="2" t="s">
        <v>207</v>
      </c>
      <c r="C3" s="2" t="s">
        <v>53</v>
      </c>
    </row>
    <row r="4" spans="1:3" x14ac:dyDescent="0.25">
      <c r="A4" t="s">
        <v>208</v>
      </c>
      <c r="B4" t="s">
        <v>209</v>
      </c>
      <c r="C4" t="s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23</vt:i4>
      </vt:variant>
    </vt:vector>
  </HeadingPairs>
  <TitlesOfParts>
    <vt:vector size="36" baseType="lpstr">
      <vt:lpstr>PORTADA</vt:lpstr>
      <vt:lpstr>DEFAULTS</vt:lpstr>
      <vt:lpstr>SCENARIOS</vt:lpstr>
      <vt:lpstr>INPUTS</vt:lpstr>
      <vt:lpstr>CAPEX_DET</vt:lpstr>
      <vt:lpstr>OPEX_DET</vt:lpstr>
      <vt:lpstr>CF_MODEL</vt:lpstr>
      <vt:lpstr>INDICADORES</vt:lpstr>
      <vt:lpstr>SENS</vt:lpstr>
      <vt:lpstr>DASHBOARD</vt:lpstr>
      <vt:lpstr>MAPEO_LATEX</vt:lpstr>
      <vt:lpstr>DICCIONARIO_DATOS</vt:lpstr>
      <vt:lpstr>AUDITORIA</vt:lpstr>
      <vt:lpstr>AhorroBase</vt:lpstr>
      <vt:lpstr>CAPEX_BASE</vt:lpstr>
      <vt:lpstr>CAPEX_MULT</vt:lpstr>
      <vt:lpstr>CAPEX_TOTAL</vt:lpstr>
      <vt:lpstr>CargaKW</vt:lpstr>
      <vt:lpstr>COP</vt:lpstr>
      <vt:lpstr>EscOPEX</vt:lpstr>
      <vt:lpstr>HorasAnio</vt:lpstr>
      <vt:lpstr>Horizonte</vt:lpstr>
      <vt:lpstr>Inflacion</vt:lpstr>
      <vt:lpstr>PrecioElec</vt:lpstr>
      <vt:lpstr>ResetOn</vt:lpstr>
      <vt:lpstr>ResetSwitch</vt:lpstr>
      <vt:lpstr>SCEN_CAPEX_MULT</vt:lpstr>
      <vt:lpstr>SCEN_ESCALO</vt:lpstr>
      <vt:lpstr>SCEN_NAMES</vt:lpstr>
      <vt:lpstr>SCEN_VALRES</vt:lpstr>
      <vt:lpstr>SCEN_WACC</vt:lpstr>
      <vt:lpstr>ScenarioSel</vt:lpstr>
      <vt:lpstr>TasaImpuesto</vt:lpstr>
      <vt:lpstr>TIR_OBJ</vt:lpstr>
      <vt:lpstr>ValorResidualPct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JAG DESIGN</cp:lastModifiedBy>
  <dcterms:created xsi:type="dcterms:W3CDTF">2025-09-03T12:42:16Z</dcterms:created>
  <dcterms:modified xsi:type="dcterms:W3CDTF">2026-04-28T17:05:25Z</dcterms:modified>
</cp:coreProperties>
</file>