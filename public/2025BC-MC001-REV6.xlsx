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f2e90018362cd82/2.0 PROYECTOS compl/E3PRO/W2601 BOMBA CALOR TANQUE CONDENSADOS/ESTUDIOECONOMICO/"/>
    </mc:Choice>
  </mc:AlternateContent>
  <xr:revisionPtr revIDLastSave="8" documentId="8_{D8F302F4-7BA3-4488-B4DC-2F4FD883BA44}" xr6:coauthVersionLast="47" xr6:coauthVersionMax="47" xr10:uidLastSave="{E3B2597C-7876-4B08-A293-B4B166F49988}"/>
  <bookViews>
    <workbookView xWindow="-98" yWindow="-98" windowWidth="28996" windowHeight="15675" tabRatio="500" activeTab="1" xr2:uid="{00000000-000D-0000-FFFF-FFFF00000000}"/>
  </bookViews>
  <sheets>
    <sheet name="PORTADA" sheetId="1" r:id="rId1"/>
    <sheet name="DASHBOARD" sheetId="2" r:id="rId2"/>
    <sheet name="DASH_FIN" sheetId="3" r:id="rId3"/>
    <sheet name="DASH_OPS" sheetId="4" r:id="rId4"/>
    <sheet name="INPUTS" sheetId="5" r:id="rId5"/>
    <sheet name="CAPEX_DET" sheetId="6" r:id="rId6"/>
    <sheet name="OPEX_FACTORES" sheetId="7" r:id="rId7"/>
    <sheet name="OPEX_DET" sheetId="8" r:id="rId8"/>
    <sheet name="CF_MODEL" sheetId="9" r:id="rId9"/>
    <sheet name="INDICADORES" sheetId="10" r:id="rId10"/>
    <sheet name="SENS" sheetId="11" r:id="rId11"/>
    <sheet name="_AUX" sheetId="12" state="hidden" r:id="rId12"/>
    <sheet name="_DATA_VIZ" sheetId="13" state="hidden" r:id="rId13"/>
    <sheet name="DEFAULTS" sheetId="14" state="hidden" r:id="rId14"/>
    <sheet name="SCENARIOS" sheetId="15" state="hidden" r:id="rId15"/>
  </sheets>
  <definedNames>
    <definedName name="AhorroBase">OPEX_DET!$D$15</definedName>
    <definedName name="CAPEX_BASE">CAPEX_DET!$G$37</definedName>
    <definedName name="CAPEX_MULT">INPUTS!$B$32</definedName>
    <definedName name="CAPEX_TOTAL">CAPEX_DET!$G$38</definedName>
    <definedName name="CargaKW">INPUTS!$B$21</definedName>
    <definedName name="CargaKW_Real">INPUTS!$B$22</definedName>
    <definedName name="COP">INPUTS!$B$23</definedName>
    <definedName name="EficCaldera">INPUTS!$B$27</definedName>
    <definedName name="EscOPEX">INPUTS!$B$26</definedName>
    <definedName name="HorasAnio">INPUTS!$B$24</definedName>
    <definedName name="Horizonte">INPUTS!$B$10</definedName>
    <definedName name="PrecioElec">INPUTS!$B$25</definedName>
    <definedName name="PrecioGas">INPUTS!$B$28</definedName>
    <definedName name="ResetOn">INPUTS!$F$4</definedName>
    <definedName name="ResetSwitch">INPUTS!$B$4</definedName>
    <definedName name="SCEN_CAPEX_MULT">SCENARIOS!$B$4:$B$6</definedName>
    <definedName name="SCEN_ESCALO">SCENARIOS!$C$4:$C$6</definedName>
    <definedName name="SCEN_NAMES">SCENARIOS!$A$4:$A$6</definedName>
    <definedName name="SCEN_VALRES">SCENARIOS!$E$4:$E$6</definedName>
    <definedName name="SCEN_WACC">SCENARIOS!$D$4:$D$6</definedName>
    <definedName name="ScenarioSel">INPUTS!$B$6</definedName>
    <definedName name="TasaImpuesto">INPUTS!$B$15</definedName>
    <definedName name="TIR_OBJ">INPUTS!$B$17</definedName>
    <definedName name="ValorResidualPct">INPUTS!$B$16</definedName>
    <definedName name="WACC">INPUTS!$B$14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6" i="13" l="1"/>
  <c r="I46" i="13"/>
  <c r="J45" i="13"/>
  <c r="I45" i="13"/>
  <c r="J44" i="13"/>
  <c r="I44" i="13"/>
  <c r="J43" i="13"/>
  <c r="I43" i="13"/>
  <c r="J42" i="13"/>
  <c r="I42" i="13"/>
  <c r="J41" i="13"/>
  <c r="I41" i="13"/>
  <c r="B8" i="13"/>
  <c r="B7" i="13"/>
  <c r="B6" i="13"/>
  <c r="B5" i="13"/>
  <c r="G4" i="13"/>
  <c r="F4" i="13"/>
  <c r="E4" i="13"/>
  <c r="B4" i="13"/>
  <c r="B3" i="13"/>
  <c r="G2" i="13"/>
  <c r="F2" i="13"/>
  <c r="E2" i="13"/>
  <c r="B2" i="13"/>
  <c r="B14" i="10"/>
  <c r="C9" i="8"/>
  <c r="F38" i="4" s="1"/>
  <c r="B9" i="8"/>
  <c r="C11" i="7"/>
  <c r="B11" i="7"/>
  <c r="D32" i="6"/>
  <c r="G32" i="6" s="1"/>
  <c r="G31" i="6"/>
  <c r="D31" i="6"/>
  <c r="D30" i="6"/>
  <c r="D28" i="6"/>
  <c r="G28" i="6" s="1"/>
  <c r="G27" i="6"/>
  <c r="D27" i="6"/>
  <c r="G26" i="6"/>
  <c r="D26" i="6"/>
  <c r="D25" i="6"/>
  <c r="G25" i="6" s="1"/>
  <c r="G23" i="6"/>
  <c r="D23" i="6"/>
  <c r="D22" i="6"/>
  <c r="D21" i="6"/>
  <c r="G20" i="6"/>
  <c r="D20" i="6"/>
  <c r="D18" i="6"/>
  <c r="G17" i="6"/>
  <c r="D17" i="6"/>
  <c r="D16" i="6"/>
  <c r="G16" i="6" s="1"/>
  <c r="D15" i="6"/>
  <c r="G15" i="6" s="1"/>
  <c r="G14" i="6"/>
  <c r="D14" i="6"/>
  <c r="D13" i="6"/>
  <c r="G13" i="6" s="1"/>
  <c r="D11" i="6"/>
  <c r="G10" i="6"/>
  <c r="D10" i="6"/>
  <c r="D9" i="6"/>
  <c r="G9" i="6" s="1"/>
  <c r="G8" i="6"/>
  <c r="D8" i="6"/>
  <c r="D6" i="6"/>
  <c r="G6" i="6" s="1"/>
  <c r="D5" i="6"/>
  <c r="G5" i="6" s="1"/>
  <c r="D3" i="6"/>
  <c r="E10" i="6" s="1"/>
  <c r="B38" i="5"/>
  <c r="B28" i="5" s="1"/>
  <c r="B37" i="5"/>
  <c r="C32" i="5"/>
  <c r="C28" i="5"/>
  <c r="C27" i="5"/>
  <c r="C26" i="5"/>
  <c r="C25" i="5"/>
  <c r="C24" i="5"/>
  <c r="C23" i="5"/>
  <c r="B23" i="5"/>
  <c r="C22" i="5"/>
  <c r="B22" i="5"/>
  <c r="C21" i="5"/>
  <c r="B21" i="5"/>
  <c r="C17" i="5"/>
  <c r="C16" i="5"/>
  <c r="C15" i="5"/>
  <c r="C14" i="5"/>
  <c r="C10" i="5"/>
  <c r="F4" i="5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D9" i="4"/>
  <c r="G8" i="4"/>
  <c r="D8" i="4"/>
  <c r="A8" i="4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C31" i="3"/>
  <c r="K34" i="2"/>
  <c r="J34" i="2"/>
  <c r="H34" i="2"/>
  <c r="K32" i="2"/>
  <c r="J32" i="2"/>
  <c r="H32" i="2"/>
  <c r="K30" i="2"/>
  <c r="J30" i="2"/>
  <c r="H30" i="2"/>
  <c r="J3" i="2"/>
  <c r="E21" i="6" l="1"/>
  <c r="E22" i="6"/>
  <c r="E23" i="6"/>
  <c r="E27" i="6"/>
  <c r="E14" i="6"/>
  <c r="E20" i="6"/>
  <c r="E26" i="6"/>
  <c r="E6" i="6"/>
  <c r="E25" i="6"/>
  <c r="E16" i="6"/>
  <c r="E8" i="6"/>
  <c r="G3" i="6"/>
  <c r="E3" i="6"/>
  <c r="E17" i="6"/>
  <c r="E30" i="6"/>
  <c r="E31" i="6"/>
  <c r="E11" i="6"/>
  <c r="G11" i="6"/>
  <c r="J3" i="4"/>
  <c r="B16" i="10"/>
  <c r="B17" i="10"/>
  <c r="G18" i="6"/>
  <c r="E18" i="6"/>
  <c r="B27" i="5"/>
  <c r="B15" i="7" s="1"/>
  <c r="B13" i="8" s="1"/>
  <c r="B16" i="5"/>
  <c r="B26" i="5"/>
  <c r="B15" i="5"/>
  <c r="C38" i="4"/>
  <c r="E15" i="6"/>
  <c r="G22" i="6"/>
  <c r="G30" i="6"/>
  <c r="G21" i="6"/>
  <c r="B14" i="5"/>
  <c r="D9" i="8"/>
  <c r="D38" i="4" s="1"/>
  <c r="B38" i="4"/>
  <c r="B10" i="5"/>
  <c r="B25" i="5"/>
  <c r="E28" i="6"/>
  <c r="B24" i="5"/>
  <c r="C4" i="7" s="1"/>
  <c r="C2" i="8" s="1"/>
  <c r="E9" i="6"/>
  <c r="E5" i="6"/>
  <c r="B32" i="5"/>
  <c r="B15" i="10" s="1"/>
  <c r="B17" i="5"/>
  <c r="B7" i="10" s="1"/>
  <c r="E13" i="6"/>
  <c r="E32" i="6"/>
  <c r="B42" i="4" l="1"/>
  <c r="C31" i="4"/>
  <c r="C41" i="13"/>
  <c r="F41" i="13"/>
  <c r="G34" i="6"/>
  <c r="J3" i="3"/>
  <c r="B4" i="7"/>
  <c r="B2" i="8" s="1"/>
  <c r="C15" i="7"/>
  <c r="C13" i="8" s="1"/>
  <c r="B18" i="10"/>
  <c r="G3" i="7"/>
  <c r="B14" i="8" l="1"/>
  <c r="C3" i="8"/>
  <c r="C8" i="8"/>
  <c r="B3" i="8"/>
  <c r="B8" i="8"/>
  <c r="C7" i="8"/>
  <c r="C14" i="8"/>
  <c r="C5" i="8"/>
  <c r="C12" i="8"/>
  <c r="B12" i="8"/>
  <c r="B5" i="8"/>
  <c r="C11" i="8"/>
  <c r="C4" i="8"/>
  <c r="C10" i="8"/>
  <c r="B11" i="8"/>
  <c r="B4" i="8"/>
  <c r="B10" i="8"/>
  <c r="B7" i="8"/>
  <c r="C6" i="8"/>
  <c r="B6" i="8"/>
  <c r="F47" i="13"/>
  <c r="F42" i="4"/>
  <c r="C42" i="4"/>
  <c r="G35" i="6"/>
  <c r="G36" i="6"/>
  <c r="G37" i="6" s="1"/>
  <c r="B41" i="13"/>
  <c r="D2" i="8"/>
  <c r="B31" i="4"/>
  <c r="F31" i="4"/>
  <c r="D13" i="8"/>
  <c r="D42" i="4" s="1"/>
  <c r="B20" i="11" l="1"/>
  <c r="B19" i="11"/>
  <c r="B11" i="10"/>
  <c r="B18" i="11"/>
  <c r="B16" i="11"/>
  <c r="B24" i="11"/>
  <c r="B17" i="11"/>
  <c r="B25" i="11"/>
  <c r="B21" i="11"/>
  <c r="B22" i="11"/>
  <c r="G38" i="6"/>
  <c r="G39" i="6"/>
  <c r="B23" i="11"/>
  <c r="D4" i="8"/>
  <c r="D33" i="4" s="1"/>
  <c r="E33" i="4"/>
  <c r="B33" i="4"/>
  <c r="D31" i="4"/>
  <c r="E40" i="4"/>
  <c r="B40" i="4"/>
  <c r="B46" i="13"/>
  <c r="D11" i="8"/>
  <c r="D40" i="4" s="1"/>
  <c r="F33" i="4"/>
  <c r="C33" i="4"/>
  <c r="C40" i="4"/>
  <c r="F46" i="13"/>
  <c r="C46" i="13"/>
  <c r="F40" i="4"/>
  <c r="E34" i="4"/>
  <c r="D5" i="8"/>
  <c r="D34" i="4" s="1"/>
  <c r="B34" i="4"/>
  <c r="D12" i="8"/>
  <c r="D41" i="4" s="1"/>
  <c r="B41" i="4"/>
  <c r="E41" i="4"/>
  <c r="F34" i="4"/>
  <c r="C34" i="4"/>
  <c r="C43" i="4"/>
  <c r="F43" i="4"/>
  <c r="F36" i="4"/>
  <c r="C36" i="4"/>
  <c r="E42" i="4"/>
  <c r="C44" i="13"/>
  <c r="F37" i="4"/>
  <c r="C37" i="4"/>
  <c r="F44" i="13"/>
  <c r="C39" i="4"/>
  <c r="F39" i="4"/>
  <c r="F45" i="13"/>
  <c r="C45" i="13"/>
  <c r="C41" i="4"/>
  <c r="F41" i="4"/>
  <c r="D8" i="8"/>
  <c r="D37" i="4" s="1"/>
  <c r="B44" i="13"/>
  <c r="E37" i="4"/>
  <c r="B37" i="4"/>
  <c r="C32" i="4"/>
  <c r="F42" i="13"/>
  <c r="C42" i="13"/>
  <c r="F32" i="4"/>
  <c r="J8" i="4"/>
  <c r="E38" i="4"/>
  <c r="E31" i="4"/>
  <c r="C47" i="13"/>
  <c r="B35" i="4"/>
  <c r="E35" i="4"/>
  <c r="B43" i="13"/>
  <c r="D6" i="8"/>
  <c r="D35" i="4" s="1"/>
  <c r="E32" i="4"/>
  <c r="B32" i="4"/>
  <c r="B44" i="4" s="1"/>
  <c r="B42" i="13"/>
  <c r="D3" i="8"/>
  <c r="D32" i="4" s="1"/>
  <c r="C35" i="4"/>
  <c r="C43" i="13"/>
  <c r="F43" i="13"/>
  <c r="F35" i="4"/>
  <c r="D7" i="8"/>
  <c r="D36" i="4" s="1"/>
  <c r="E36" i="4"/>
  <c r="B36" i="4"/>
  <c r="B39" i="4"/>
  <c r="D10" i="8"/>
  <c r="D39" i="4" s="1"/>
  <c r="E39" i="4"/>
  <c r="B45" i="13"/>
  <c r="B43" i="4"/>
  <c r="E43" i="4"/>
  <c r="D14" i="8"/>
  <c r="D43" i="4" s="1"/>
  <c r="B47" i="13"/>
  <c r="B12" i="10" l="1"/>
  <c r="Q6" i="9"/>
  <c r="B22" i="10"/>
  <c r="B4" i="9"/>
  <c r="C44" i="4"/>
  <c r="F44" i="4" s="1"/>
  <c r="D15" i="8"/>
  <c r="D44" i="4"/>
  <c r="J8" i="2" l="1"/>
  <c r="G8" i="3"/>
  <c r="J30" i="1"/>
  <c r="B7" i="9"/>
  <c r="B31" i="3"/>
  <c r="B47" i="3" s="1"/>
  <c r="C19" i="11"/>
  <c r="B13" i="10"/>
  <c r="C25" i="11"/>
  <c r="C18" i="11"/>
  <c r="C16" i="11"/>
  <c r="C5" i="9"/>
  <c r="C24" i="11"/>
  <c r="C20" i="11"/>
  <c r="C17" i="11"/>
  <c r="C22" i="11"/>
  <c r="B21" i="10"/>
  <c r="C21" i="11"/>
  <c r="C23" i="11"/>
  <c r="C7" i="9" l="1"/>
  <c r="C32" i="3"/>
  <c r="D5" i="9"/>
  <c r="D16" i="11"/>
  <c r="E16" i="11" s="1"/>
  <c r="F16" i="11" s="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T16" i="11" s="1"/>
  <c r="D25" i="11"/>
  <c r="E25" i="11" s="1"/>
  <c r="F25" i="11" s="1"/>
  <c r="G25" i="11" s="1"/>
  <c r="H25" i="11" s="1"/>
  <c r="I25" i="11" s="1"/>
  <c r="J25" i="11" s="1"/>
  <c r="K25" i="11" s="1"/>
  <c r="L25" i="11" s="1"/>
  <c r="M25" i="11" s="1"/>
  <c r="N25" i="11" s="1"/>
  <c r="O25" i="11" s="1"/>
  <c r="P25" i="11" s="1"/>
  <c r="Q25" i="11" s="1"/>
  <c r="S25" i="11"/>
  <c r="T25" i="11"/>
  <c r="D19" i="11"/>
  <c r="E19" i="11" s="1"/>
  <c r="F19" i="11" s="1"/>
  <c r="G19" i="11" s="1"/>
  <c r="H19" i="11" s="1"/>
  <c r="I19" i="11" s="1"/>
  <c r="J19" i="11" s="1"/>
  <c r="K19" i="11" s="1"/>
  <c r="L19" i="11" s="1"/>
  <c r="M19" i="11" s="1"/>
  <c r="N19" i="11" s="1"/>
  <c r="O19" i="11" s="1"/>
  <c r="P19" i="11" s="1"/>
  <c r="Q19" i="11" s="1"/>
  <c r="D20" i="11"/>
  <c r="E20" i="11" s="1"/>
  <c r="F20" i="11" s="1"/>
  <c r="G20" i="11" s="1"/>
  <c r="H20" i="11" s="1"/>
  <c r="I20" i="11" s="1"/>
  <c r="J20" i="11" s="1"/>
  <c r="K20" i="11" s="1"/>
  <c r="L20" i="11" s="1"/>
  <c r="M20" i="11" s="1"/>
  <c r="N20" i="11" s="1"/>
  <c r="O20" i="11" s="1"/>
  <c r="P20" i="11" s="1"/>
  <c r="Q20" i="11" s="1"/>
  <c r="D31" i="3"/>
  <c r="B9" i="9"/>
  <c r="D22" i="11"/>
  <c r="E22" i="11" s="1"/>
  <c r="F22" i="11" s="1"/>
  <c r="G22" i="11" s="1"/>
  <c r="H22" i="11" s="1"/>
  <c r="I22" i="11" s="1"/>
  <c r="J22" i="11" s="1"/>
  <c r="K22" i="11" s="1"/>
  <c r="L22" i="11" s="1"/>
  <c r="M22" i="11" s="1"/>
  <c r="N22" i="11" s="1"/>
  <c r="O22" i="11" s="1"/>
  <c r="P22" i="11" s="1"/>
  <c r="Q22" i="11" s="1"/>
  <c r="S22" i="11" s="1"/>
  <c r="T22" i="11"/>
  <c r="D17" i="11"/>
  <c r="E17" i="11" s="1"/>
  <c r="F17" i="11" s="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T17" i="11" s="1"/>
  <c r="D24" i="11"/>
  <c r="E24" i="11" s="1"/>
  <c r="F24" i="11" s="1"/>
  <c r="G24" i="11" s="1"/>
  <c r="H24" i="11" s="1"/>
  <c r="I24" i="11" s="1"/>
  <c r="J24" i="11" s="1"/>
  <c r="K24" i="11" s="1"/>
  <c r="L24" i="11" s="1"/>
  <c r="M24" i="11" s="1"/>
  <c r="N24" i="11" s="1"/>
  <c r="O24" i="11" s="1"/>
  <c r="P24" i="11" s="1"/>
  <c r="Q24" i="11" s="1"/>
  <c r="D18" i="11"/>
  <c r="E18" i="11" s="1"/>
  <c r="F18" i="11" s="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A8" i="3"/>
  <c r="D8" i="3"/>
  <c r="D23" i="11"/>
  <c r="E23" i="11" s="1"/>
  <c r="F23" i="11" s="1"/>
  <c r="G23" i="11" s="1"/>
  <c r="H23" i="11" s="1"/>
  <c r="I23" i="11" s="1"/>
  <c r="J23" i="11" s="1"/>
  <c r="K23" i="11" s="1"/>
  <c r="L23" i="11" s="1"/>
  <c r="M23" i="11" s="1"/>
  <c r="N23" i="11" s="1"/>
  <c r="O23" i="11" s="1"/>
  <c r="P23" i="11" s="1"/>
  <c r="Q23" i="11" s="1"/>
  <c r="S23" i="11" s="1"/>
  <c r="D21" i="11"/>
  <c r="E21" i="11" s="1"/>
  <c r="F21" i="11" s="1"/>
  <c r="G21" i="11" s="1"/>
  <c r="H21" i="11" s="1"/>
  <c r="I21" i="11" s="1"/>
  <c r="J21" i="11" s="1"/>
  <c r="K21" i="11" s="1"/>
  <c r="L21" i="11" s="1"/>
  <c r="M21" i="11" s="1"/>
  <c r="N21" i="11" s="1"/>
  <c r="O21" i="11" s="1"/>
  <c r="P21" i="11" s="1"/>
  <c r="Q21" i="11" s="1"/>
  <c r="S21" i="11"/>
  <c r="T21" i="11"/>
  <c r="T23" i="11" l="1"/>
  <c r="S17" i="11"/>
  <c r="T19" i="11"/>
  <c r="S16" i="11"/>
  <c r="T20" i="11"/>
  <c r="S18" i="11"/>
  <c r="C33" i="3"/>
  <c r="E5" i="9"/>
  <c r="D7" i="9"/>
  <c r="S19" i="11"/>
  <c r="T24" i="11"/>
  <c r="S24" i="11"/>
  <c r="T18" i="11"/>
  <c r="S20" i="11"/>
  <c r="E31" i="3"/>
  <c r="B21" i="13"/>
  <c r="B10" i="9"/>
  <c r="D32" i="3"/>
  <c r="C9" i="9"/>
  <c r="E32" i="3" l="1"/>
  <c r="B22" i="13"/>
  <c r="F31" i="3"/>
  <c r="J2" i="13"/>
  <c r="C10" i="9"/>
  <c r="C21" i="13"/>
  <c r="F5" i="9"/>
  <c r="E7" i="9"/>
  <c r="C34" i="3"/>
  <c r="D33" i="3"/>
  <c r="D9" i="9"/>
  <c r="G5" i="9" l="1"/>
  <c r="C35" i="3"/>
  <c r="F7" i="9"/>
  <c r="D34" i="3"/>
  <c r="E9" i="9"/>
  <c r="J3" i="13"/>
  <c r="C22" i="13"/>
  <c r="F32" i="3"/>
  <c r="D10" i="9"/>
  <c r="B23" i="13"/>
  <c r="E33" i="3"/>
  <c r="F9" i="9" l="1"/>
  <c r="D35" i="3"/>
  <c r="C23" i="13"/>
  <c r="F33" i="3"/>
  <c r="E10" i="9"/>
  <c r="J4" i="13"/>
  <c r="E34" i="3"/>
  <c r="B24" i="13"/>
  <c r="H5" i="9"/>
  <c r="C36" i="3"/>
  <c r="G7" i="9"/>
  <c r="G9" i="9" l="1"/>
  <c r="D36" i="3"/>
  <c r="C37" i="3"/>
  <c r="H7" i="9"/>
  <c r="I5" i="9"/>
  <c r="F34" i="3"/>
  <c r="C24" i="13"/>
  <c r="F10" i="9"/>
  <c r="J5" i="13"/>
  <c r="B25" i="13"/>
  <c r="E35" i="3"/>
  <c r="J6" i="13" l="1"/>
  <c r="C25" i="13"/>
  <c r="F35" i="3"/>
  <c r="G10" i="9"/>
  <c r="H9" i="9"/>
  <c r="D37" i="3"/>
  <c r="B26" i="13"/>
  <c r="E36" i="3"/>
  <c r="C38" i="3"/>
  <c r="I7" i="9"/>
  <c r="J5" i="9"/>
  <c r="J7" i="9" l="1"/>
  <c r="K5" i="9"/>
  <c r="C39" i="3"/>
  <c r="B27" i="13"/>
  <c r="E37" i="3"/>
  <c r="I9" i="9"/>
  <c r="D38" i="3"/>
  <c r="C26" i="13"/>
  <c r="F36" i="3"/>
  <c r="H10" i="9"/>
  <c r="J7" i="13"/>
  <c r="C27" i="13" l="1"/>
  <c r="F37" i="3"/>
  <c r="J8" i="13"/>
  <c r="I10" i="9"/>
  <c r="B28" i="13"/>
  <c r="E38" i="3"/>
  <c r="K7" i="9"/>
  <c r="L5" i="9"/>
  <c r="C40" i="3"/>
  <c r="J9" i="9"/>
  <c r="D39" i="3"/>
  <c r="K9" i="9" l="1"/>
  <c r="D40" i="3"/>
  <c r="B29" i="13"/>
  <c r="E39" i="3"/>
  <c r="L7" i="9"/>
  <c r="M5" i="9"/>
  <c r="C41" i="3"/>
  <c r="C28" i="13"/>
  <c r="J9" i="13"/>
  <c r="J10" i="9"/>
  <c r="F38" i="3"/>
  <c r="J10" i="13" l="1"/>
  <c r="K10" i="9"/>
  <c r="C29" i="13"/>
  <c r="F39" i="3"/>
  <c r="M7" i="9"/>
  <c r="N5" i="9"/>
  <c r="C42" i="3"/>
  <c r="L9" i="9"/>
  <c r="D41" i="3"/>
  <c r="B30" i="13"/>
  <c r="E40" i="3"/>
  <c r="E41" i="3" l="1"/>
  <c r="B31" i="13"/>
  <c r="M9" i="9"/>
  <c r="D42" i="3"/>
  <c r="N7" i="9"/>
  <c r="O5" i="9"/>
  <c r="C43" i="3"/>
  <c r="J11" i="13"/>
  <c r="L10" i="9"/>
  <c r="F40" i="3"/>
  <c r="C30" i="13"/>
  <c r="J12" i="13" l="1"/>
  <c r="M10" i="9"/>
  <c r="F41" i="3"/>
  <c r="C31" i="13"/>
  <c r="D43" i="3"/>
  <c r="N9" i="9"/>
  <c r="C44" i="3"/>
  <c r="O7" i="9"/>
  <c r="P5" i="9"/>
  <c r="B32" i="13"/>
  <c r="E42" i="3"/>
  <c r="Q5" i="9" l="1"/>
  <c r="P7" i="9"/>
  <c r="C45" i="3"/>
  <c r="D44" i="3"/>
  <c r="O9" i="9"/>
  <c r="N10" i="9"/>
  <c r="C32" i="13"/>
  <c r="J13" i="13"/>
  <c r="F42" i="3"/>
  <c r="B33" i="13"/>
  <c r="E43" i="3"/>
  <c r="O10" i="9" l="1"/>
  <c r="J14" i="13"/>
  <c r="C33" i="13"/>
  <c r="F43" i="3"/>
  <c r="E44" i="3"/>
  <c r="B34" i="13"/>
  <c r="D45" i="3"/>
  <c r="P9" i="9"/>
  <c r="C46" i="3"/>
  <c r="C47" i="3" s="1"/>
  <c r="Q7" i="9"/>
  <c r="Q9" i="9" l="1"/>
  <c r="D46" i="3"/>
  <c r="D47" i="3" s="1"/>
  <c r="B14" i="9"/>
  <c r="B5" i="10" s="1"/>
  <c r="B35" i="13"/>
  <c r="E45" i="3"/>
  <c r="F44" i="3"/>
  <c r="C34" i="13"/>
  <c r="P10" i="9"/>
  <c r="J15" i="13"/>
  <c r="F3" i="13" l="1"/>
  <c r="B8" i="10"/>
  <c r="D9" i="2" s="1"/>
  <c r="D30" i="1"/>
  <c r="D8" i="2"/>
  <c r="C35" i="13"/>
  <c r="Q10" i="9"/>
  <c r="J16" i="13"/>
  <c r="F45" i="3"/>
  <c r="B36" i="13"/>
  <c r="E46" i="3"/>
  <c r="E47" i="3" s="1"/>
  <c r="B13" i="9"/>
  <c r="B4" i="10" s="1"/>
  <c r="E3" i="13" l="1"/>
  <c r="Z2" i="11"/>
  <c r="A30" i="1"/>
  <c r="J8" i="3"/>
  <c r="A8" i="2"/>
  <c r="C36" i="13"/>
  <c r="J17" i="13"/>
  <c r="F46" i="3"/>
  <c r="F47" i="3" s="1"/>
  <c r="B15" i="9"/>
  <c r="B6" i="10" s="1"/>
  <c r="G3" i="13" l="1"/>
  <c r="G30" i="1"/>
  <c r="G8" i="2"/>
  <c r="C31" i="11"/>
  <c r="G23" i="13" s="1"/>
  <c r="C29" i="11"/>
  <c r="G21" i="13" s="1"/>
  <c r="C32" i="11"/>
  <c r="G24" i="13" s="1"/>
  <c r="B29" i="11"/>
  <c r="F21" i="13" s="1"/>
  <c r="B32" i="11"/>
  <c r="F24" i="13" s="1"/>
  <c r="C33" i="11"/>
  <c r="G25" i="13" s="1"/>
  <c r="B30" i="11"/>
  <c r="F22" i="13" s="1"/>
  <c r="C30" i="11"/>
  <c r="G22" i="13" s="1"/>
  <c r="B31" i="11"/>
  <c r="F23" i="13" s="1"/>
  <c r="B33" i="11"/>
  <c r="F25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8" authorId="0" shapeId="0" xr:uid="{00000000-0006-0000-0400-000001000000}">
      <text>
        <r>
          <rPr>
            <sz val="10"/>
            <rFont val="Arial"/>
            <family val="2"/>
          </rPr>
          <t>Este valor se calcula automáticamente desde el bloque de conversión (filas 33-38) usando el precio del gas en COP/m³ declarado por BAXTER, la TRM y el PCS del gas natural.
Para modificar el costo de energía del gas, edite la celda B34 (Precio gas en COP/m³ estándar).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600-000001000000}">
      <text>
        <r>
          <rPr>
            <sz val="10"/>
            <rFont val="Arial"/>
            <family val="2"/>
          </rPr>
          <t>Ratio de escalación de la plantilla base 2025BC.
Plantilla referencia: 490 kW × 4000 h = 1 960 000 kWh/año
Proyecto actual: CargaKW × HorasAnio = 1 980 000 kWh/año
Aplica a costos lineales con la energía entregada.</t>
        </r>
      </text>
    </comment>
  </commentList>
</comments>
</file>

<file path=xl/sharedStrings.xml><?xml version="1.0" encoding="utf-8"?>
<sst xmlns="http://schemas.openxmlformats.org/spreadsheetml/2006/main" count="523" uniqueCount="351">
  <si>
    <t>ESTUDIO TÉCNICO-ECONÓMICO · BAXTER S.A. · PLANTA CALI</t>
  </si>
  <si>
    <t>Bomba de calor para tanque de condensados</t>
  </si>
  <si>
    <t>Análisis CAPEX, OPEX, VPN, TIR y Payback descontado · Horizonte 15 años · WACC 8 %</t>
  </si>
  <si>
    <t>Sustitución de caldera de vapor por sistema de bomba de calor industrial 250 kW (COP 3.0)</t>
  </si>
  <si>
    <t>CLIENTE</t>
  </si>
  <si>
    <t>UBICACIÓN</t>
  </si>
  <si>
    <t>Laboratorios BAXTER S.A.</t>
  </si>
  <si>
    <t>Planta Cali · Valle del Cauca · Colombia</t>
  </si>
  <si>
    <t>PREPARADO POR</t>
  </si>
  <si>
    <t>CÓDIGO DOC.</t>
  </si>
  <si>
    <t>E3PRO Engineering Solutions · DML Ingenieros</t>
  </si>
  <si>
    <t>W2601-PRMC-001-R3</t>
  </si>
  <si>
    <t>REVISIÓN</t>
  </si>
  <si>
    <t>FECHA EMISIÓN</t>
  </si>
  <si>
    <t>R3 · Corrección material vs R2 (cálculo VPN/TIR)</t>
  </si>
  <si>
    <t>2026-05-02</t>
  </si>
  <si>
    <t>ESTADO</t>
  </si>
  <si>
    <t>CLASIFICACIÓN</t>
  </si>
  <si>
    <t>PARA APROBACIÓN</t>
  </si>
  <si>
    <t>Confidencial · Uso Interno</t>
  </si>
  <si>
    <t>RESUMEN EJECUTIVO · CIFRAS CLAVE</t>
  </si>
  <si>
    <t>VPN</t>
  </si>
  <si>
    <t>TIR</t>
  </si>
  <si>
    <t>PAYBACK</t>
  </si>
  <si>
    <t>CAPEX</t>
  </si>
  <si>
    <t>USD · Decisión: APROBAR</t>
  </si>
  <si>
    <t>Sobre objetivo del 8 %</t>
  </si>
  <si>
    <t>Recuperación capital</t>
  </si>
  <si>
    <t>USD · Inversión total</t>
  </si>
  <si>
    <t>CONTENIDO DEL DOCUMENTO</t>
  </si>
  <si>
    <t>DASHBOARD</t>
  </si>
  <si>
    <t>Dashboard ejecutivo · KPIs principales y comparación de escenarios</t>
  </si>
  <si>
    <t>DASH_FIN</t>
  </si>
  <si>
    <t>Dashboard financiero · Flujo de caja y sensibilidad ±25 %</t>
  </si>
  <si>
    <t>DASH_OPS</t>
  </si>
  <si>
    <t>Dashboard operativo y ambiental · OPEX caldera vs BC</t>
  </si>
  <si>
    <t>INPUTS</t>
  </si>
  <si>
    <t>Parámetros de entrada (editables)</t>
  </si>
  <si>
    <t>CAPEX_DET</t>
  </si>
  <si>
    <t>Desglose detallado del CAPEX</t>
  </si>
  <si>
    <t>OPEX_DET</t>
  </si>
  <si>
    <t>Desglose detallado del OPEX caldera vs bomba de calor</t>
  </si>
  <si>
    <t>CF_MODEL</t>
  </si>
  <si>
    <t>Modelo de flujo de caja descontado · 16 años</t>
  </si>
  <si>
    <t>INDICADORES</t>
  </si>
  <si>
    <t>KPIs financieros · VPN, TIR, Payback, Break-even</t>
  </si>
  <si>
    <t>SENS</t>
  </si>
  <si>
    <t>Análisis de sensibilidad detallado por variable</t>
  </si>
  <si>
    <t>© DML Ingenieros Consultores SAS · E3PRO Engineering Solutions · Cali, Colombia</t>
  </si>
  <si>
    <t>Dashboard Ejecutivo · Bomba de Calor para Tanque de Condensados</t>
  </si>
  <si>
    <t>Cliente: Laboratorios BAXTER S.A. · Planta Cali · Estudio técnico-económico (15 años, WACC 8 %)</t>
  </si>
  <si>
    <t>VPN (VALOR PRESENTE NETO)</t>
  </si>
  <si>
    <t>TIR (TASA INTERNA DE RETORNO)</t>
  </si>
  <si>
    <t>PAYBACK DESCONTADO</t>
  </si>
  <si>
    <t>CAPEX TOTAL</t>
  </si>
  <si>
    <t>USD · Decisión: APROBAR (VPN &gt; 0)</t>
  </si>
  <si>
    <t>años · Benchmark sectorial 5–10 a</t>
  </si>
  <si>
    <t>USD · Incl. contingencia 8 %</t>
  </si>
  <si>
    <t>ANÁLISIS ECONÓMICO</t>
  </si>
  <si>
    <t>Composición del CAPEX por disciplina</t>
  </si>
  <si>
    <t>Comparación de escenarios (VPN)</t>
  </si>
  <si>
    <t>Flujo de caja descontado acumulado por escenario</t>
  </si>
  <si>
    <t>Resumen comparativo de escenarios</t>
  </si>
  <si>
    <t>ESCENARIO</t>
  </si>
  <si>
    <t>VPN (USD)</t>
  </si>
  <si>
    <t>TIR (%)</t>
  </si>
  <si>
    <t>Pesimista</t>
  </si>
  <si>
    <t>Base</t>
  </si>
  <si>
    <t>Optimista</t>
  </si>
  <si>
    <t>Δ-VPN positivo en todos los escenarios. Robustez sobre WACC, ahorro y horas de operación.</t>
  </si>
  <si>
    <t>DML Ingenieros Consultores SAS · E3PRO Engineering Solutions</t>
  </si>
  <si>
    <t>Revisión R3 · 2026-05-02 · Confidencial - Uso interno</t>
  </si>
  <si>
    <t>Dashboard Financiero · Flujo de Caja y Sensibilidad</t>
  </si>
  <si>
    <t>Análisis de rentabilidad, cash flow descontado y sensibilidad de variables económicas</t>
  </si>
  <si>
    <t>AHORRO AÑO 1</t>
  </si>
  <si>
    <t>ROI AÑO 1</t>
  </si>
  <si>
    <t>CAPEX INTENSIDAD</t>
  </si>
  <si>
    <t>NPV / CAPEX</t>
  </si>
  <si>
    <t>USD/año · OPEX caldera vs bomba calor</t>
  </si>
  <si>
    <t>Ahorro/CAPEX (recuperación primer año)</t>
  </si>
  <si>
    <t>USD/kW · Benchmark 2 000–3 500 USD/kW</t>
  </si>
  <si>
    <t>Múltiplo · Creación de valor por USD invertido</t>
  </si>
  <si>
    <t>EVOLUCIÓN DE LA RENTABILIDAD</t>
  </si>
  <si>
    <t>Flujo de caja descontado anual y acumulado · Escenario Base</t>
  </si>
  <si>
    <t>Análisis de sensibilidad · Δ-VPN vs Base (±25 %)</t>
  </si>
  <si>
    <t>FLUJO DE CAJA DETALLADO · Escenario Base</t>
  </si>
  <si>
    <t>Tabla de Flujo de Caja descontado (15 años + año 0)</t>
  </si>
  <si>
    <t>Línea de break-even · CAPEX vs Ahorro acumulado</t>
  </si>
  <si>
    <t>Año</t>
  </si>
  <si>
    <t>CAPEX (USD)</t>
  </si>
  <si>
    <t>Ahorro OPEX (USD)</t>
  </si>
  <si>
    <t>FC bruto (USD)</t>
  </si>
  <si>
    <t>FC descontado</t>
  </si>
  <si>
    <t>FC acum. desc.</t>
  </si>
  <si>
    <t>TOTALES (15 años)</t>
  </si>
  <si>
    <t>Dashboard Operativo y Ambiental · Justificación Técnica</t>
  </si>
  <si>
    <t>Comparativa caldera vs bomba de calor · Reducción de OPEX, gas natural y emisiones de CO₂</t>
  </si>
  <si>
    <t>CO₂ EVITADO</t>
  </si>
  <si>
    <t>GAS NATURAL EVITADO</t>
  </si>
  <si>
    <t>EQUIVALENTE ÁRBOLES</t>
  </si>
  <si>
    <t>REDUCCIÓN OPEX</t>
  </si>
  <si>
    <t>t CO₂ /año · Gas natural sustituido</t>
  </si>
  <si>
    <t>árboles/año · Factor IPCC ~22 kg CO₂/árbol</t>
  </si>
  <si>
    <t>% · Bomba de calor vs caldera de vapor</t>
  </si>
  <si>
    <t>IMPACTO EN COSTOS DE OPERACIÓN  ·  Precio gas: 4 000 COP/m³ estándar (TRM 4 277, PCS 38 MJ/m³)</t>
  </si>
  <si>
    <t>Comparativa OPEX por categoría · Caldera vs BC</t>
  </si>
  <si>
    <t>Composición del OPEX de la bomba de calor</t>
  </si>
  <si>
    <t>DESGLOSE DETALLADO Y PERFIL COMPARATIVO</t>
  </si>
  <si>
    <t>Detalle OPEX por concepto · Año 1</t>
  </si>
  <si>
    <t>Perfil normalizado · Caldera vs BC (radar)</t>
  </si>
  <si>
    <t>Concepto</t>
  </si>
  <si>
    <t>Caldera (USD)</t>
  </si>
  <si>
    <t>BC (USD)</t>
  </si>
  <si>
    <t>Ahorro (USD)</t>
  </si>
  <si>
    <t>% del OPEX</t>
  </si>
  <si>
    <t>Reducción</t>
  </si>
  <si>
    <t>TOTAL</t>
  </si>
  <si>
    <t>Parámetros de entrada · Editables</t>
  </si>
  <si>
    <t>Modifique las celdas en la columna VALOR. Para resetear, seleccione "Sí" en C5.</t>
  </si>
  <si>
    <t>Parámetro</t>
  </si>
  <si>
    <t>Valor</t>
  </si>
  <si>
    <t>Estado / Default</t>
  </si>
  <si>
    <t>Notas</t>
  </si>
  <si>
    <t>Helpers</t>
  </si>
  <si>
    <t>No</t>
  </si>
  <si>
    <t>ResetOn (1/0)</t>
  </si>
  <si>
    <t>Escenario</t>
  </si>
  <si>
    <t>Seleccionado</t>
  </si>
  <si>
    <t>(Elige escenario o '(Manual)')</t>
  </si>
  <si>
    <t>Horizonte (años)</t>
  </si>
  <si>
    <t>Unidad: años</t>
  </si>
  <si>
    <t>WACC (tasa descuento nominal)</t>
  </si>
  <si>
    <t>Unidad: %</t>
  </si>
  <si>
    <t>Tasa de impuesto efectiva</t>
  </si>
  <si>
    <t>Valor residual sobre CAPEX</t>
  </si>
  <si>
    <t>TIR objetivo (%)</t>
  </si>
  <si>
    <t>Carga térmica de diseño (kW)</t>
  </si>
  <si>
    <t>Unidad: kW</t>
  </si>
  <si>
    <t>Carga térmica real (kW)</t>
  </si>
  <si>
    <t>COP conservador (adim.)</t>
  </si>
  <si>
    <t>Unidad: adim.</t>
  </si>
  <si>
    <t>Horas/año</t>
  </si>
  <si>
    <t>Unidad: h</t>
  </si>
  <si>
    <t>Precio electricidad (USD/kWh)</t>
  </si>
  <si>
    <t>Unidad: USD/kWh</t>
  </si>
  <si>
    <t>Escalamiento anual ahorro (%)</t>
  </si>
  <si>
    <t>Eficiencia caldera referencia</t>
  </si>
  <si>
    <t>Precio gas natural (USD/kWh eq.)</t>
  </si>
  <si>
    <t>Derivado de fila 34 (COP/m³ estándar) — ver bloque al final</t>
  </si>
  <si>
    <t>Multiplicador CAPEX (x)</t>
  </si>
  <si>
    <t>Unidad: –</t>
  </si>
  <si>
    <t>Conversión costo gas natural — referencia cliente</t>
  </si>
  <si>
    <t>Precio gas natural (COP/m³ estándar)</t>
  </si>
  <si>
    <t>Valor declarado por BAXTER (factura GdN)</t>
  </si>
  <si>
    <t>TRM referencia (COP/USD)</t>
  </si>
  <si>
    <t>Calibrada para preservar PrecioGas USD/kWh eq.</t>
  </si>
  <si>
    <t>PCS gas natural (MJ/m³)</t>
  </si>
  <si>
    <t>Norma NTC 2604 · Gas natural Promigas/Vanti</t>
  </si>
  <si>
    <t xml:space="preserve">   ↳ Equivalente (USD/m³)</t>
  </si>
  <si>
    <t>→ COP/m³ ÷ TRM</t>
  </si>
  <si>
    <t xml:space="preserve">   ↳ Equivalente (USD/kWh eq.) — alimenta el modelo</t>
  </si>
  <si>
    <t>→ USD/m³ × 3,6 / PCS  · ver fila 28</t>
  </si>
  <si>
    <t>Cantidad</t>
  </si>
  <si>
    <t>Costo Unit.</t>
  </si>
  <si>
    <t>Costo Total</t>
  </si>
  <si>
    <t>% Total</t>
  </si>
  <si>
    <t>% Δ Partida</t>
  </si>
  <si>
    <t>Total Ajustado</t>
  </si>
  <si>
    <t>EQUIPOS PRINCIPALES</t>
  </si>
  <si>
    <t>Sistema bomba calor 250 kW industrial (FOB)</t>
  </si>
  <si>
    <t>INSTRUMENTACIÓN Y CONTROL</t>
  </si>
  <si>
    <t>SCADA WinCC RT (integración planta)</t>
  </si>
  <si>
    <t>Analizador conductividad + pH (1×)</t>
  </si>
  <si>
    <t>LOGÍSTICA Y ADUANAS</t>
  </si>
  <si>
    <t>Transporte marítimo a Colombia</t>
  </si>
  <si>
    <t>Aranceles y trámites aduaneros</t>
  </si>
  <si>
    <t>IVA 19 % sobre importación (no capex)</t>
  </si>
  <si>
    <t>Transporte terrestre a Cali</t>
  </si>
  <si>
    <t>SISTEMAS AUXILIARES</t>
  </si>
  <si>
    <t>Tubería carbon steel DN50 caliente (150 m)</t>
  </si>
  <si>
    <t>Tubería carbon steel DN80 frío (150 m)</t>
  </si>
  <si>
    <t>Válvulas industriales DN50 caliente (12×)</t>
  </si>
  <si>
    <t>Válvulas industriales DN80 frío (8×)</t>
  </si>
  <si>
    <t>Conexiones y accesorios ASME B31.1</t>
  </si>
  <si>
    <t>Aislamiento térmico (200 m²)</t>
  </si>
  <si>
    <t>INGENIERÍA</t>
  </si>
  <si>
    <t>Ingeniería conceptual (200 h)</t>
  </si>
  <si>
    <t>Ingeniería básica (600 h)</t>
  </si>
  <si>
    <t>Ingeniería de detalle (1,000 h)</t>
  </si>
  <si>
    <t>Gestión de proyecto</t>
  </si>
  <si>
    <t>INSTALACIÓN</t>
  </si>
  <si>
    <t>Obra civil</t>
  </si>
  <si>
    <t>Instalación mecánica</t>
  </si>
  <si>
    <t>Instalación eléctrica</t>
  </si>
  <si>
    <t>Integración hidráulica</t>
  </si>
  <si>
    <t>PUESTA EN MARCHA</t>
  </si>
  <si>
    <t>Commissioning y arranque supervisado</t>
  </si>
  <si>
    <t>Capacitación técnica</t>
  </si>
  <si>
    <t>Soporte técnico primer año</t>
  </si>
  <si>
    <t>Subtotal</t>
  </si>
  <si>
    <t>Contingencia técnica (%)</t>
  </si>
  <si>
    <t>Escalación precios (%)</t>
  </si>
  <si>
    <t>TOTAL CAPEX (ajustado, sin escenario)</t>
  </si>
  <si>
    <t>TOTAL CAPEX (con escenario)</t>
  </si>
  <si>
    <t>CAPEX/kW diseño (USD/kW)</t>
  </si>
  <si>
    <t>Benchmark: 2.000–3.500</t>
  </si>
  <si>
    <t>Factores base OPEX (plantilla 2025BC escalada)</t>
  </si>
  <si>
    <t>Base Gas (USD)</t>
  </si>
  <si>
    <t>Base BC (USD)</t>
  </si>
  <si>
    <t>Unidad</t>
  </si>
  <si>
    <t>Ratio plantilla</t>
  </si>
  <si>
    <t>(escala costos lineales con la energía anual entregada)</t>
  </si>
  <si>
    <t>Costo energía</t>
  </si>
  <si>
    <t>USD/año</t>
  </si>
  <si>
    <t>Fórmula exacta desde INPUTS</t>
  </si>
  <si>
    <t>Preventivo</t>
  </si>
  <si>
    <t>Base plantilla 2025BC × ratio</t>
  </si>
  <si>
    <t>Correctivo</t>
  </si>
  <si>
    <t>Inspecciones</t>
  </si>
  <si>
    <t>Químicos caldera</t>
  </si>
  <si>
    <t>Agua reposición sistema enfriamiento</t>
  </si>
  <si>
    <t>Análisis calidad</t>
  </si>
  <si>
    <t>Operador</t>
  </si>
  <si>
    <t>Operador: 5.000.000 COP/mes × 12 meses × 20% dedicación / 4.300 TRM</t>
  </si>
  <si>
    <t>Supervisión</t>
  </si>
  <si>
    <t>Seguros</t>
  </si>
  <si>
    <t>Certificaciones</t>
  </si>
  <si>
    <t>Emisiones CO2</t>
  </si>
  <si>
    <t>Factor 25 USD/t CO₂</t>
  </si>
  <si>
    <t>Gestión residuos</t>
  </si>
  <si>
    <t>Sistema Vapor (USD/año)</t>
  </si>
  <si>
    <t>Bomba Calor (USD/año)</t>
  </si>
  <si>
    <t>Ahorro (USD/año)</t>
  </si>
  <si>
    <t>Escalador anual (%)</t>
  </si>
  <si>
    <t>TOTAL OPEX (Ahorro año 1)</t>
  </si>
  <si>
    <t>Modelo de Flujo de Caja Descontado</t>
  </si>
  <si>
    <t>CAPEX (negativo en t=0)</t>
  </si>
  <si>
    <t>Ahorro OPEX (crece %/año)</t>
  </si>
  <si>
    <t>Valor residual (año final)</t>
  </si>
  <si>
    <t>Flujo de Caja (FC)</t>
  </si>
  <si>
    <t>FC Descontado</t>
  </si>
  <si>
    <t>FC Acum. Descontado</t>
  </si>
  <si>
    <t>VPN (suma de FC descontados)</t>
  </si>
  <si>
    <t>TIR (IRR sobre FC)</t>
  </si>
  <si>
    <t>Payback (años, descontado)</t>
  </si>
  <si>
    <t>Método: interpolación lineal entre último año negativo y primer año positivo del FC acum. descontado</t>
  </si>
  <si>
    <t>Indicadores Financieros</t>
  </si>
  <si>
    <t>KPI</t>
  </si>
  <si>
    <t>VPN (NPV)</t>
  </si>
  <si>
    <t>TIR (IRR)</t>
  </si>
  <si>
    <t>Payback descontado (años)</t>
  </si>
  <si>
    <t>Relación TIR / Objetivo</t>
  </si>
  <si>
    <t>Resumen</t>
  </si>
  <si>
    <t>CAPEX base (sin escenario)</t>
  </si>
  <si>
    <t>CAPEX total (con escenario)</t>
  </si>
  <si>
    <t>Ahorro OPEX año 1</t>
  </si>
  <si>
    <t>Escenario activo</t>
  </si>
  <si>
    <t>Multiplicador CAPEX</t>
  </si>
  <si>
    <t>Carga térmica diseño (kW)</t>
  </si>
  <si>
    <t>Potencia eléctrica (kW)</t>
  </si>
  <si>
    <t>Break-even (VPN = 0)</t>
  </si>
  <si>
    <t>CAPEX máximo para viabilidad</t>
  </si>
  <si>
    <t>Nota: supone valor residual = 0</t>
  </si>
  <si>
    <t>Ahorro mínimo año 1 para viabilidad</t>
  </si>
  <si>
    <t>Análisis de Sensibilidad · Δ-VPN ±25 %</t>
  </si>
  <si>
    <t>Variable</t>
  </si>
  <si>
    <t>Nivel</t>
  </si>
  <si>
    <t>CAPEX_mult</t>
  </si>
  <si>
    <t>Ahorro_mult</t>
  </si>
  <si>
    <t>WACC_mult</t>
  </si>
  <si>
    <t>Esc_mult</t>
  </si>
  <si>
    <t>Horas_mult</t>
  </si>
  <si>
    <t>Bajo</t>
  </si>
  <si>
    <t>Alto</t>
  </si>
  <si>
    <t>Ahorro</t>
  </si>
  <si>
    <t>WACC</t>
  </si>
  <si>
    <t>EscOPEX</t>
  </si>
  <si>
    <t>Horas</t>
  </si>
  <si>
    <t>(Modelos por caso → IRR/NPV)</t>
  </si>
  <si>
    <t>t</t>
  </si>
  <si>
    <t>IRR</t>
  </si>
  <si>
    <t>NPV</t>
  </si>
  <si>
    <t>Resumen (∆VPN vs Base)</t>
  </si>
  <si>
    <t>Low ∆NPV</t>
  </si>
  <si>
    <t>High ∆NPV</t>
  </si>
  <si>
    <t>CAPEX por disciplina</t>
  </si>
  <si>
    <t>OPEX por categoría</t>
  </si>
  <si>
    <t>Emisiones y ambiente</t>
  </si>
  <si>
    <t>Escenarios resumen</t>
  </si>
  <si>
    <t>Matriz viabilidad VPN (CAPEX vs Ahorro)</t>
  </si>
  <si>
    <t>Sensibilidad Scatter</t>
  </si>
  <si>
    <t>FC acumulado por escenario</t>
  </si>
  <si>
    <t>FC brutos escenarios</t>
  </si>
  <si>
    <t>Ahorro acumulado (sin descontar)</t>
  </si>
  <si>
    <t>Payback benchmark</t>
  </si>
  <si>
    <t>Radar normalizado</t>
  </si>
  <si>
    <t>Disciplina</t>
  </si>
  <si>
    <t>Subtotal (USD)</t>
  </si>
  <si>
    <t>Categoría</t>
  </si>
  <si>
    <t>Gas (USD)</t>
  </si>
  <si>
    <t>Gas</t>
  </si>
  <si>
    <t>BC</t>
  </si>
  <si>
    <t>Payback</t>
  </si>
  <si>
    <t>CAPEX \ Ahorro</t>
  </si>
  <si>
    <t>0.75x</t>
  </si>
  <si>
    <t>1.00x</t>
  </si>
  <si>
    <t>1.25x</t>
  </si>
  <si>
    <t>Acumulado</t>
  </si>
  <si>
    <t>Dimensión</t>
  </si>
  <si>
    <t>Caldera</t>
  </si>
  <si>
    <t>Equipos principales</t>
  </si>
  <si>
    <t>Energía</t>
  </si>
  <si>
    <t>Emisiones CO2 (t/año)</t>
  </si>
  <si>
    <t>tCO2/año</t>
  </si>
  <si>
    <t>Actual</t>
  </si>
  <si>
    <t>Instrumentación y control</t>
  </si>
  <si>
    <t>Mantenimiento</t>
  </si>
  <si>
    <t>Gas natural evitado (m3/año)</t>
  </si>
  <si>
    <t>m3/año</t>
  </si>
  <si>
    <t>Benchmark mínimo</t>
  </si>
  <si>
    <t>Logística y aduanas</t>
  </si>
  <si>
    <t>Servicios y consumibles</t>
  </si>
  <si>
    <t>Equivalente árboles plantados</t>
  </si>
  <si>
    <t>árboles/año</t>
  </si>
  <si>
    <t>Benchmark máximo</t>
  </si>
  <si>
    <t>Servicios</t>
  </si>
  <si>
    <t>Sistemas auxiliares</t>
  </si>
  <si>
    <t>Personal</t>
  </si>
  <si>
    <t>Límite aceptable</t>
  </si>
  <si>
    <t>Ingeniería</t>
  </si>
  <si>
    <t>Seguros y certificaciones</t>
  </si>
  <si>
    <t>Seguros/Cert</t>
  </si>
  <si>
    <t>Instalación</t>
  </si>
  <si>
    <t>Ambiental</t>
  </si>
  <si>
    <t>Puesta en marcha</t>
  </si>
  <si>
    <t>FC desc. acumulado (Base)</t>
  </si>
  <si>
    <t>FC anual</t>
  </si>
  <si>
    <t>FC desc. acum.</t>
  </si>
  <si>
    <t>Low (-25%)</t>
  </si>
  <si>
    <t>High (+25%)</t>
  </si>
  <si>
    <t>Bomba calor</t>
  </si>
  <si>
    <t>Químicos+Agua</t>
  </si>
  <si>
    <t>Análisis</t>
  </si>
  <si>
    <t>Seguros+Cert.</t>
  </si>
  <si>
    <t>Valores por defecto del estudio (para RESET)</t>
  </si>
  <si>
    <t>Perfiles de escenario</t>
  </si>
  <si>
    <t>CAPEX Mult</t>
  </si>
  <si>
    <t>Escalamiento ahorro</t>
  </si>
  <si>
    <t>Valor Residual</t>
  </si>
  <si>
    <t>Memoria de cálculo económico · R2</t>
  </si>
  <si>
    <t>W2601-PRMC-001-R2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</si>
</sst>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\$#,##0"/>
    <numFmt numFmtId="165" formatCode="0.0%"/>
    <numFmt numFmtId="166" formatCode="0.00&quot; años&quot;"/>
    <numFmt numFmtId="167" formatCode="\$#,##0;[Red]&quot;-$&quot;#,##0"/>
    <numFmt numFmtId="168" formatCode="0.0&quot; años&quot;"/>
    <numFmt numFmtId="169" formatCode="\$#,##0.00"/>
    <numFmt numFmtId="170" formatCode="\$#,##0;[Red]&quot;-$&quot;#,##0;\-"/>
    <numFmt numFmtId="171" formatCode="\$#,##0&quot; /kW&quot;"/>
    <numFmt numFmtId="172" formatCode="0.00\×"/>
    <numFmt numFmtId="173" formatCode="#,##0.0&quot; t/año&quot;"/>
    <numFmt numFmtId="174" formatCode="#,##0&quot; m³&quot;"/>
    <numFmt numFmtId="175" formatCode="\$#,##0;\-"/>
    <numFmt numFmtId="176" formatCode="0.0000"/>
    <numFmt numFmtId="177" formatCode="0.0000&quot; USD/kWh&quot;"/>
    <numFmt numFmtId="178" formatCode="#,##0&quot; COP/m³&quot;"/>
    <numFmt numFmtId="179" formatCode="0.0"/>
    <numFmt numFmtId="180" formatCode="0.00000"/>
    <numFmt numFmtId="181" formatCode="0.0\×"/>
    <numFmt numFmtId="182" formatCode="#,##0&quot; kW&quot;"/>
    <numFmt numFmtId="183" formatCode="#,##0.00&quot; kW&quot;"/>
    <numFmt numFmtId="184" formatCode="#,##0&quot; h&quot;"/>
  </numFmts>
  <fonts count="42" x14ac:knownFonts="1">
    <font>
      <sz val="11"/>
      <color theme="1"/>
      <name val="Calibri"/>
      <family val="2"/>
      <charset val="1"/>
    </font>
    <font>
      <b/>
      <sz val="10"/>
      <color rgb="FF2EA3FF"/>
      <name val="Segoe UI"/>
      <charset val="1"/>
    </font>
    <font>
      <b/>
      <sz val="28"/>
      <color rgb="FFE6EDF3"/>
      <name val="Segoe UI"/>
      <charset val="1"/>
    </font>
    <font>
      <b/>
      <sz val="28"/>
      <color rgb="FF2EA3FF"/>
      <name val="Segoe UI"/>
      <charset val="1"/>
    </font>
    <font>
      <sz val="12"/>
      <color rgb="FFB1BAC4"/>
      <name val="Segoe UI"/>
      <charset val="1"/>
    </font>
    <font>
      <sz val="11"/>
      <color rgb="FF8B949E"/>
      <name val="Segoe UI"/>
      <charset val="1"/>
    </font>
    <font>
      <b/>
      <sz val="10"/>
      <color rgb="FF8B949E"/>
      <name val="Segoe UI"/>
      <charset val="1"/>
    </font>
    <font>
      <b/>
      <sz val="13"/>
      <color rgb="FFE6EDF3"/>
      <name val="Segoe UI"/>
      <charset val="1"/>
    </font>
    <font>
      <b/>
      <sz val="11"/>
      <color rgb="FF8B949E"/>
      <name val="Segoe UI"/>
      <charset val="1"/>
    </font>
    <font>
      <sz val="10"/>
      <color rgb="FF8B949E"/>
      <name val="Segoe UI"/>
      <charset val="1"/>
    </font>
    <font>
      <b/>
      <sz val="22"/>
      <color rgb="FFE6EDF3"/>
      <name val="Segoe UI"/>
      <charset val="1"/>
    </font>
    <font>
      <sz val="9"/>
      <color rgb="FF6E7681"/>
      <name val="Segoe UI"/>
      <charset val="1"/>
    </font>
    <font>
      <sz val="10"/>
      <color rgb="FFB1BAC4"/>
      <name val="Segoe UI"/>
      <charset val="1"/>
    </font>
    <font>
      <sz val="9"/>
      <color rgb="FF8B949E"/>
      <name val="Segoe UI"/>
      <charset val="1"/>
    </font>
    <font>
      <b/>
      <sz val="20"/>
      <color rgb="FFE6EDF3"/>
      <name val="Segoe UI"/>
      <charset val="1"/>
    </font>
    <font>
      <b/>
      <sz val="11"/>
      <color rgb="FF2EA3FF"/>
      <name val="Segoe UI"/>
      <charset val="1"/>
    </font>
    <font>
      <sz val="11"/>
      <color rgb="FFB1BAC4"/>
      <name val="Segoe UI"/>
      <charset val="1"/>
    </font>
    <font>
      <b/>
      <sz val="12"/>
      <color rgb="FFB1BAC4"/>
      <name val="Segoe UI"/>
      <charset val="1"/>
    </font>
    <font>
      <b/>
      <sz val="10"/>
      <color rgb="FFE6EDF3"/>
      <name val="Segoe UI"/>
      <charset val="1"/>
    </font>
    <font>
      <b/>
      <sz val="11"/>
      <color rgb="FFF87171"/>
      <name val="Segoe UI"/>
      <charset val="1"/>
    </font>
    <font>
      <sz val="10"/>
      <color rgb="FFE6EDF3"/>
      <name val="Segoe UI"/>
      <charset val="1"/>
    </font>
    <font>
      <b/>
      <sz val="11"/>
      <color rgb="FF10B981"/>
      <name val="Segoe UI"/>
      <charset val="1"/>
    </font>
    <font>
      <b/>
      <sz val="10"/>
      <color rgb="FF10B981"/>
      <name val="Segoe UI"/>
      <charset val="1"/>
    </font>
    <font>
      <b/>
      <sz val="11"/>
      <color rgb="FFFBBF24"/>
      <name val="Segoe UI"/>
      <charset val="1"/>
    </font>
    <font>
      <b/>
      <sz val="16"/>
      <color rgb="FFE6EDF3"/>
      <name val="Segoe UI"/>
      <charset val="1"/>
    </font>
    <font>
      <b/>
      <sz val="11"/>
      <color rgb="FF60A5FA"/>
      <name val="Segoe UI"/>
      <charset val="1"/>
    </font>
    <font>
      <sz val="10"/>
      <color rgb="FF6E7681"/>
      <name val="Segoe UI"/>
      <charset val="1"/>
    </font>
    <font>
      <sz val="10"/>
      <color rgb="FF10B981"/>
      <name val="Segoe UI"/>
      <charset val="1"/>
    </font>
    <font>
      <sz val="10"/>
      <color rgb="FF2EA3FF"/>
      <name val="Segoe UI"/>
      <charset val="1"/>
    </font>
    <font>
      <sz val="11"/>
      <color rgb="FF2EA3FF"/>
      <name val="Segoe UI"/>
      <charset val="1"/>
    </font>
    <font>
      <sz val="10"/>
      <name val="Arial"/>
      <family val="2"/>
    </font>
    <font>
      <b/>
      <sz val="11"/>
      <color rgb="FFE6EDF3"/>
      <name val="Segoe UI"/>
      <charset val="1"/>
    </font>
    <font>
      <b/>
      <sz val="13"/>
      <color rgb="FF10B981"/>
      <name val="Segoe UI"/>
      <charset val="1"/>
    </font>
    <font>
      <b/>
      <sz val="13"/>
      <color rgb="FF2EA3FF"/>
      <name val="Segoe UI"/>
      <charset val="1"/>
    </font>
    <font>
      <b/>
      <sz val="13"/>
      <color rgb="FFFBBF24"/>
      <name val="Segoe UI"/>
      <charset val="1"/>
    </font>
    <font>
      <sz val="10"/>
      <color rgb="FFF0F6FC"/>
      <name val="Segoe UI"/>
      <family val="2"/>
      <charset val="1"/>
    </font>
    <font>
      <b/>
      <sz val="10"/>
      <color rgb="FFF87171"/>
      <name val="Segoe UI"/>
      <charset val="1"/>
    </font>
    <font>
      <sz val="9"/>
      <color rgb="FF6E7681"/>
      <name val="Segoe UI"/>
      <family val="2"/>
      <charset val="1"/>
    </font>
    <font>
      <b/>
      <sz val="9"/>
      <color rgb="FF8B949E"/>
      <name val="Segoe UI"/>
      <family val="2"/>
      <charset val="1"/>
    </font>
    <font>
      <sz val="11"/>
      <color rgb="FFF0F6FC"/>
      <name val="Segoe UI"/>
      <family val="2"/>
      <charset val="1"/>
    </font>
    <font>
      <b/>
      <sz val="12"/>
      <color rgb="FF2EA3FF"/>
      <name val="Segoe UI"/>
      <charset val="1"/>
    </font>
    <font>
      <b/>
      <sz val="13"/>
      <color rgb="FF79C0FF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2EA3FF"/>
        <bgColor rgb="FF60A5FA"/>
      </patternFill>
    </fill>
    <fill>
      <patternFill patternType="solid">
        <fgColor rgb="FF0E1117"/>
        <bgColor rgb="FF161B22"/>
      </patternFill>
    </fill>
    <fill>
      <patternFill patternType="solid">
        <fgColor rgb="FF161B22"/>
        <bgColor rgb="FF1C2128"/>
      </patternFill>
    </fill>
    <fill>
      <patternFill patternType="solid">
        <fgColor rgb="FF10B981"/>
        <bgColor rgb="FF22D3EE"/>
      </patternFill>
    </fill>
    <fill>
      <patternFill patternType="solid">
        <fgColor rgb="FFFBBF24"/>
        <bgColor rgb="FFFF9900"/>
      </patternFill>
    </fill>
    <fill>
      <patternFill patternType="solid">
        <fgColor rgb="FFF87171"/>
        <bgColor rgb="FFF472B6"/>
      </patternFill>
    </fill>
    <fill>
      <patternFill patternType="solid">
        <fgColor rgb="FF21262D"/>
        <bgColor rgb="FF1C2128"/>
      </patternFill>
    </fill>
    <fill>
      <patternFill patternType="solid">
        <fgColor rgb="FF262C36"/>
        <bgColor rgb="FF21262D"/>
      </patternFill>
    </fill>
    <fill>
      <patternFill patternType="solid">
        <fgColor rgb="FFA78BFA"/>
        <bgColor rgb="FFCC99FF"/>
      </patternFill>
    </fill>
    <fill>
      <patternFill patternType="solid">
        <fgColor rgb="FF1C2128"/>
        <bgColor rgb="FF21262D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2EA3FF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2" fillId="4" borderId="0" xfId="0" applyFont="1" applyFill="1" applyAlignment="1">
      <alignment horizontal="left" vertical="center" wrapText="1" indent="1"/>
    </xf>
    <xf numFmtId="0" fontId="11" fillId="4" borderId="0" xfId="0" applyFont="1" applyFill="1" applyAlignment="1">
      <alignment horizontal="left" vertical="center" indent="2"/>
    </xf>
    <xf numFmtId="166" fontId="10" fillId="4" borderId="0" xfId="0" applyNumberFormat="1" applyFont="1" applyFill="1" applyAlignment="1">
      <alignment horizontal="left" vertical="center" indent="2"/>
    </xf>
    <xf numFmtId="165" fontId="10" fillId="4" borderId="0" xfId="0" applyNumberFormat="1" applyFont="1" applyFill="1" applyAlignment="1">
      <alignment horizontal="left" vertical="center" indent="2"/>
    </xf>
    <xf numFmtId="164" fontId="10" fillId="4" borderId="0" xfId="0" applyNumberFormat="1" applyFont="1" applyFill="1" applyAlignment="1">
      <alignment horizontal="left" vertical="center" indent="2"/>
    </xf>
    <xf numFmtId="0" fontId="9" fillId="4" borderId="0" xfId="0" applyFont="1" applyFill="1" applyAlignment="1">
      <alignment horizontal="left" vertical="center" indent="2"/>
    </xf>
    <xf numFmtId="0" fontId="8" fillId="3" borderId="0" xfId="0" applyFont="1" applyFill="1" applyAlignment="1">
      <alignment horizontal="left" vertical="center" indent="2"/>
    </xf>
    <xf numFmtId="0" fontId="7" fillId="4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 indent="2"/>
    </xf>
    <xf numFmtId="0" fontId="4" fillId="4" borderId="0" xfId="0" applyFont="1" applyFill="1" applyAlignment="1">
      <alignment horizontal="left" vertical="center" indent="2"/>
    </xf>
    <xf numFmtId="0" fontId="3" fillId="4" borderId="0" xfId="0" applyFont="1" applyFill="1" applyAlignment="1">
      <alignment horizontal="left" vertical="center" indent="2"/>
    </xf>
    <xf numFmtId="0" fontId="2" fillId="4" borderId="0" xfId="0" applyFont="1" applyFill="1" applyAlignment="1">
      <alignment horizontal="left" vertical="center" indent="2"/>
    </xf>
    <xf numFmtId="0" fontId="1" fillId="4" borderId="0" xfId="0" applyFont="1" applyFill="1" applyAlignment="1">
      <alignment horizontal="left" vertical="center" indent="2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4" borderId="0" xfId="0" applyFont="1" applyFill="1" applyAlignment="1">
      <alignment horizontal="left" vertical="center" wrapText="1" indent="1"/>
    </xf>
    <xf numFmtId="0" fontId="18" fillId="8" borderId="1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left" vertical="center" indent="2"/>
    </xf>
    <xf numFmtId="165" fontId="20" fillId="4" borderId="0" xfId="0" applyNumberFormat="1" applyFont="1" applyFill="1" applyAlignment="1">
      <alignment horizontal="center" vertical="center" wrapText="1"/>
    </xf>
    <xf numFmtId="0" fontId="15" fillId="4" borderId="0" xfId="0" applyFont="1" applyFill="1" applyAlignment="1">
      <alignment horizontal="left" vertical="center" indent="2"/>
    </xf>
    <xf numFmtId="0" fontId="21" fillId="4" borderId="0" xfId="0" applyFont="1" applyFill="1" applyAlignment="1">
      <alignment horizontal="left" vertical="center" indent="2"/>
    </xf>
    <xf numFmtId="0" fontId="0" fillId="10" borderId="0" xfId="0" applyFill="1"/>
    <xf numFmtId="1" fontId="18" fillId="4" borderId="0" xfId="0" applyNumberFormat="1" applyFont="1" applyFill="1" applyAlignment="1">
      <alignment horizontal="center" vertical="center" wrapText="1"/>
    </xf>
    <xf numFmtId="170" fontId="20" fillId="4" borderId="0" xfId="0" applyNumberFormat="1" applyFont="1" applyFill="1" applyAlignment="1">
      <alignment horizontal="right" vertical="center" wrapText="1" indent="1"/>
    </xf>
    <xf numFmtId="170" fontId="18" fillId="4" borderId="0" xfId="0" applyNumberFormat="1" applyFont="1" applyFill="1" applyAlignment="1">
      <alignment horizontal="right" vertical="center" wrapText="1" indent="1"/>
    </xf>
    <xf numFmtId="0" fontId="18" fillId="8" borderId="0" xfId="0" applyFont="1" applyFill="1" applyAlignment="1">
      <alignment horizontal="left" vertical="center" wrapText="1" indent="1"/>
    </xf>
    <xf numFmtId="170" fontId="18" fillId="8" borderId="0" xfId="0" applyNumberFormat="1" applyFont="1" applyFill="1" applyAlignment="1">
      <alignment horizontal="right" vertical="center" wrapText="1" indent="1"/>
    </xf>
    <xf numFmtId="164" fontId="18" fillId="8" borderId="0" xfId="0" applyNumberFormat="1" applyFont="1" applyFill="1" applyAlignment="1">
      <alignment horizontal="right" vertical="center" wrapText="1" indent="1"/>
    </xf>
    <xf numFmtId="164" fontId="22" fillId="8" borderId="0" xfId="0" applyNumberFormat="1" applyFont="1" applyFill="1" applyAlignment="1">
      <alignment horizontal="right" vertical="center" wrapText="1" indent="1"/>
    </xf>
    <xf numFmtId="0" fontId="20" fillId="4" borderId="0" xfId="0" applyFont="1" applyFill="1" applyAlignment="1">
      <alignment horizontal="left" vertical="center" wrapText="1" indent="1"/>
    </xf>
    <xf numFmtId="175" fontId="20" fillId="4" borderId="0" xfId="0" applyNumberFormat="1" applyFont="1" applyFill="1" applyAlignment="1">
      <alignment horizontal="right" vertical="center" wrapText="1" indent="1"/>
    </xf>
    <xf numFmtId="175" fontId="22" fillId="4" borderId="0" xfId="0" applyNumberFormat="1" applyFont="1" applyFill="1" applyAlignment="1">
      <alignment horizontal="right" vertical="center" wrapText="1" indent="1"/>
    </xf>
    <xf numFmtId="9" fontId="20" fillId="4" borderId="0" xfId="0" applyNumberFormat="1" applyFont="1" applyFill="1" applyAlignment="1">
      <alignment horizontal="center" vertical="center" wrapText="1"/>
    </xf>
    <xf numFmtId="9" fontId="18" fillId="8" borderId="0" xfId="0" applyNumberFormat="1" applyFont="1" applyFill="1" applyAlignment="1">
      <alignment horizontal="center" vertical="center" wrapText="1"/>
    </xf>
    <xf numFmtId="9" fontId="22" fillId="8" borderId="0" xfId="0" applyNumberFormat="1" applyFont="1" applyFill="1" applyAlignment="1">
      <alignment horizontal="center" vertical="center" wrapText="1"/>
    </xf>
    <xf numFmtId="0" fontId="24" fillId="3" borderId="0" xfId="0" applyFont="1" applyFill="1" applyAlignment="1">
      <alignment horizontal="left" vertical="center" indent="1"/>
    </xf>
    <xf numFmtId="0" fontId="18" fillId="8" borderId="1" xfId="0" applyFont="1" applyFill="1" applyBorder="1" applyAlignment="1">
      <alignment horizontal="left" vertical="center" indent="1"/>
    </xf>
    <xf numFmtId="0" fontId="25" fillId="4" borderId="0" xfId="0" applyFont="1" applyFill="1" applyAlignment="1">
      <alignment horizontal="right" vertical="center" indent="1"/>
    </xf>
    <xf numFmtId="0" fontId="26" fillId="4" borderId="0" xfId="0" applyFont="1" applyFill="1" applyAlignment="1">
      <alignment horizontal="left" vertical="center" indent="1"/>
    </xf>
    <xf numFmtId="0" fontId="26" fillId="4" borderId="0" xfId="0" applyFont="1" applyFill="1" applyAlignment="1">
      <alignment horizontal="right" vertical="center" indent="1"/>
    </xf>
    <xf numFmtId="0" fontId="18" fillId="4" borderId="0" xfId="0" applyFont="1" applyFill="1" applyAlignment="1">
      <alignment horizontal="left" vertical="center" indent="1"/>
    </xf>
    <xf numFmtId="0" fontId="27" fillId="4" borderId="0" xfId="0" applyFont="1" applyFill="1" applyAlignment="1">
      <alignment horizontal="right" vertical="center" indent="1"/>
    </xf>
    <xf numFmtId="3" fontId="28" fillId="4" borderId="0" xfId="0" applyNumberFormat="1" applyFont="1" applyFill="1" applyAlignment="1">
      <alignment horizontal="right" vertical="center" indent="1"/>
    </xf>
    <xf numFmtId="3" fontId="27" fillId="4" borderId="0" xfId="0" applyNumberFormat="1" applyFont="1" applyFill="1" applyAlignment="1">
      <alignment horizontal="right" vertical="center" indent="1"/>
    </xf>
    <xf numFmtId="0" fontId="9" fillId="4" borderId="0" xfId="0" applyFont="1" applyFill="1" applyAlignment="1">
      <alignment horizontal="left" vertical="center" indent="1"/>
    </xf>
    <xf numFmtId="10" fontId="28" fillId="4" borderId="0" xfId="0" applyNumberFormat="1" applyFont="1" applyFill="1" applyAlignment="1">
      <alignment horizontal="right" vertical="center" indent="1"/>
    </xf>
    <xf numFmtId="10" fontId="27" fillId="4" borderId="0" xfId="0" applyNumberFormat="1" applyFont="1" applyFill="1" applyAlignment="1">
      <alignment horizontal="right" vertical="center" indent="1"/>
    </xf>
    <xf numFmtId="4" fontId="28" fillId="4" borderId="0" xfId="0" applyNumberFormat="1" applyFont="1" applyFill="1" applyAlignment="1">
      <alignment horizontal="right" vertical="center" indent="1"/>
    </xf>
    <xf numFmtId="4" fontId="27" fillId="4" borderId="0" xfId="0" applyNumberFormat="1" applyFont="1" applyFill="1" applyAlignment="1">
      <alignment horizontal="right" vertical="center" indent="1"/>
    </xf>
    <xf numFmtId="176" fontId="28" fillId="4" borderId="0" xfId="0" applyNumberFormat="1" applyFont="1" applyFill="1" applyAlignment="1">
      <alignment horizontal="right" vertical="center" indent="1"/>
    </xf>
    <xf numFmtId="176" fontId="27" fillId="4" borderId="0" xfId="0" applyNumberFormat="1" applyFont="1" applyFill="1" applyAlignment="1">
      <alignment horizontal="right" vertical="center" indent="1"/>
    </xf>
    <xf numFmtId="177" fontId="29" fillId="4" borderId="0" xfId="0" applyNumberFormat="1" applyFont="1" applyFill="1" applyAlignment="1">
      <alignment horizontal="right" vertical="center" indent="1"/>
    </xf>
    <xf numFmtId="0" fontId="15" fillId="11" borderId="0" xfId="0" applyFont="1" applyFill="1" applyAlignment="1">
      <alignment horizontal="left" vertical="center" indent="1"/>
    </xf>
    <xf numFmtId="0" fontId="0" fillId="11" borderId="0" xfId="0" applyFill="1"/>
    <xf numFmtId="178" fontId="25" fillId="4" borderId="0" xfId="0" applyNumberFormat="1" applyFont="1" applyFill="1" applyAlignment="1">
      <alignment horizontal="right" vertical="center" indent="1"/>
    </xf>
    <xf numFmtId="178" fontId="27" fillId="4" borderId="0" xfId="0" applyNumberFormat="1" applyFont="1" applyFill="1" applyAlignment="1">
      <alignment horizontal="right" vertical="center" indent="1"/>
    </xf>
    <xf numFmtId="4" fontId="25" fillId="4" borderId="0" xfId="0" applyNumberFormat="1" applyFont="1" applyFill="1" applyAlignment="1">
      <alignment horizontal="right" vertical="center" indent="1"/>
    </xf>
    <xf numFmtId="179" fontId="25" fillId="4" borderId="0" xfId="0" applyNumberFormat="1" applyFont="1" applyFill="1" applyAlignment="1">
      <alignment horizontal="right" vertical="center" indent="1"/>
    </xf>
    <xf numFmtId="179" fontId="27" fillId="4" borderId="0" xfId="0" applyNumberFormat="1" applyFont="1" applyFill="1" applyAlignment="1">
      <alignment horizontal="right" vertical="center" indent="1"/>
    </xf>
    <xf numFmtId="0" fontId="12" fillId="4" borderId="0" xfId="0" applyFont="1" applyFill="1" applyAlignment="1">
      <alignment horizontal="left" vertical="center" indent="1"/>
    </xf>
    <xf numFmtId="176" fontId="20" fillId="4" borderId="0" xfId="0" applyNumberFormat="1" applyFont="1" applyFill="1" applyAlignment="1">
      <alignment horizontal="right" vertical="center" indent="1"/>
    </xf>
    <xf numFmtId="180" fontId="22" fillId="4" borderId="0" xfId="0" applyNumberFormat="1" applyFont="1" applyFill="1" applyAlignment="1">
      <alignment horizontal="right" vertical="center" indent="1"/>
    </xf>
    <xf numFmtId="0" fontId="20" fillId="4" borderId="0" xfId="0" applyFont="1" applyFill="1" applyAlignment="1">
      <alignment horizontal="left" vertical="center" indent="2"/>
    </xf>
    <xf numFmtId="3" fontId="20" fillId="4" borderId="0" xfId="0" applyNumberFormat="1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indent="1"/>
    </xf>
    <xf numFmtId="0" fontId="0" fillId="8" borderId="0" xfId="0" applyFill="1"/>
    <xf numFmtId="164" fontId="1" fillId="8" borderId="0" xfId="0" applyNumberFormat="1" applyFont="1" applyFill="1" applyAlignment="1">
      <alignment horizontal="right" vertical="center" indent="1"/>
    </xf>
    <xf numFmtId="10" fontId="1" fillId="8" borderId="0" xfId="0" applyNumberFormat="1" applyFont="1" applyFill="1" applyAlignment="1">
      <alignment horizontal="right" vertical="center" indent="1"/>
    </xf>
    <xf numFmtId="0" fontId="1" fillId="8" borderId="0" xfId="0" applyFont="1" applyFill="1" applyAlignment="1">
      <alignment horizontal="right" vertical="center" indent="1"/>
    </xf>
    <xf numFmtId="4" fontId="1" fillId="8" borderId="0" xfId="0" applyNumberFormat="1" applyFont="1" applyFill="1" applyAlignment="1">
      <alignment horizontal="right" vertical="center" indent="1"/>
    </xf>
    <xf numFmtId="0" fontId="18" fillId="8" borderId="1" xfId="0" applyFont="1" applyFill="1" applyBorder="1" applyAlignment="1">
      <alignment horizontal="left" vertical="center" wrapText="1" indent="1"/>
    </xf>
    <xf numFmtId="4" fontId="18" fillId="8" borderId="1" xfId="0" applyNumberFormat="1" applyFont="1" applyFill="1" applyBorder="1" applyAlignment="1">
      <alignment horizontal="left" vertical="center" wrapText="1" indent="1"/>
    </xf>
    <xf numFmtId="0" fontId="9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left" vertical="center" wrapText="1" indent="1"/>
    </xf>
    <xf numFmtId="0" fontId="31" fillId="8" borderId="0" xfId="0" applyFont="1" applyFill="1" applyAlignment="1">
      <alignment horizontal="left" vertical="center" indent="1"/>
    </xf>
    <xf numFmtId="164" fontId="21" fillId="8" borderId="0" xfId="0" applyNumberFormat="1" applyFont="1" applyFill="1" applyAlignment="1">
      <alignment horizontal="right" vertical="center" indent="1"/>
    </xf>
    <xf numFmtId="1" fontId="18" fillId="8" borderId="1" xfId="0" applyNumberFormat="1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left" vertical="center" indent="1"/>
    </xf>
    <xf numFmtId="170" fontId="1" fillId="11" borderId="0" xfId="0" applyNumberFormat="1" applyFont="1" applyFill="1" applyAlignment="1">
      <alignment horizontal="right" vertical="center" wrapText="1" indent="1"/>
    </xf>
    <xf numFmtId="170" fontId="22" fillId="11" borderId="0" xfId="0" applyNumberFormat="1" applyFont="1" applyFill="1" applyAlignment="1">
      <alignment horizontal="right" vertical="center" wrapText="1" indent="1"/>
    </xf>
    <xf numFmtId="0" fontId="31" fillId="4" borderId="0" xfId="0" applyFont="1" applyFill="1" applyAlignment="1">
      <alignment horizontal="left" vertical="center" indent="1"/>
    </xf>
    <xf numFmtId="164" fontId="32" fillId="4" borderId="0" xfId="0" applyNumberFormat="1" applyFont="1" applyFill="1" applyAlignment="1">
      <alignment horizontal="right" vertical="center" indent="2"/>
    </xf>
    <xf numFmtId="165" fontId="33" fillId="4" borderId="0" xfId="0" applyNumberFormat="1" applyFont="1" applyFill="1" applyAlignment="1">
      <alignment horizontal="right" vertical="center" indent="2"/>
    </xf>
    <xf numFmtId="166" fontId="34" fillId="4" borderId="0" xfId="0" applyNumberFormat="1" applyFont="1" applyFill="1" applyAlignment="1">
      <alignment horizontal="right" vertical="center" indent="2"/>
    </xf>
    <xf numFmtId="0" fontId="13" fillId="4" borderId="0" xfId="0" applyFont="1" applyFill="1" applyAlignment="1">
      <alignment horizontal="left" vertical="center" indent="1"/>
    </xf>
    <xf numFmtId="0" fontId="33" fillId="4" borderId="0" xfId="0" applyFont="1" applyFill="1" applyAlignment="1">
      <alignment horizontal="right" vertical="center" indent="2"/>
    </xf>
    <xf numFmtId="167" fontId="33" fillId="4" borderId="0" xfId="0" applyNumberFormat="1" applyFont="1" applyFill="1" applyAlignment="1">
      <alignment horizontal="right" vertical="center" indent="2"/>
    </xf>
    <xf numFmtId="166" fontId="33" fillId="4" borderId="0" xfId="0" applyNumberFormat="1" applyFont="1" applyFill="1" applyAlignment="1">
      <alignment horizontal="right" vertical="center" indent="2"/>
    </xf>
    <xf numFmtId="172" fontId="33" fillId="4" borderId="0" xfId="0" applyNumberFormat="1" applyFont="1" applyFill="1" applyAlignment="1">
      <alignment horizontal="right" vertical="center" indent="2"/>
    </xf>
    <xf numFmtId="0" fontId="20" fillId="4" borderId="0" xfId="0" applyFont="1" applyFill="1" applyAlignment="1">
      <alignment horizontal="left" vertical="center" indent="1"/>
    </xf>
    <xf numFmtId="164" fontId="31" fillId="4" borderId="0" xfId="0" applyNumberFormat="1" applyFont="1" applyFill="1" applyAlignment="1">
      <alignment horizontal="right" vertical="center" indent="2"/>
    </xf>
    <xf numFmtId="0" fontId="31" fillId="4" borderId="0" xfId="0" applyFont="1" applyFill="1" applyAlignment="1">
      <alignment horizontal="right" vertical="center" indent="2"/>
    </xf>
    <xf numFmtId="181" fontId="31" fillId="4" borderId="0" xfId="0" applyNumberFormat="1" applyFont="1" applyFill="1" applyAlignment="1">
      <alignment horizontal="right" vertical="center" indent="2"/>
    </xf>
    <xf numFmtId="182" fontId="31" fillId="4" borderId="0" xfId="0" applyNumberFormat="1" applyFont="1" applyFill="1" applyAlignment="1">
      <alignment horizontal="right" vertical="center" indent="2"/>
    </xf>
    <xf numFmtId="183" fontId="31" fillId="4" borderId="0" xfId="0" applyNumberFormat="1" applyFont="1" applyFill="1" applyAlignment="1">
      <alignment horizontal="right" vertical="center" indent="2"/>
    </xf>
    <xf numFmtId="184" fontId="31" fillId="4" borderId="0" xfId="0" applyNumberFormat="1" applyFont="1" applyFill="1" applyAlignment="1">
      <alignment horizontal="right" vertical="center" indent="2"/>
    </xf>
    <xf numFmtId="0" fontId="23" fillId="11" borderId="0" xfId="0" applyFont="1" applyFill="1" applyAlignment="1">
      <alignment horizontal="left" vertical="center" indent="1"/>
    </xf>
    <xf numFmtId="164" fontId="21" fillId="4" borderId="0" xfId="0" applyNumberFormat="1" applyFont="1" applyFill="1" applyAlignment="1">
      <alignment horizontal="right" vertical="center" indent="2"/>
    </xf>
    <xf numFmtId="169" fontId="35" fillId="3" borderId="0" xfId="0" applyNumberFormat="1" applyFont="1" applyFill="1"/>
    <xf numFmtId="0" fontId="36" fillId="4" borderId="0" xfId="0" applyFont="1" applyFill="1" applyAlignment="1">
      <alignment horizontal="center" vertical="center" wrapText="1"/>
    </xf>
    <xf numFmtId="2" fontId="20" fillId="4" borderId="0" xfId="0" applyNumberFormat="1" applyFont="1" applyFill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37" fillId="3" borderId="0" xfId="0" applyFont="1" applyFill="1"/>
    <xf numFmtId="0" fontId="38" fillId="3" borderId="0" xfId="0" applyFont="1" applyFill="1" applyAlignment="1">
      <alignment horizontal="center" vertical="center"/>
    </xf>
    <xf numFmtId="164" fontId="39" fillId="3" borderId="0" xfId="0" applyNumberFormat="1" applyFont="1" applyFill="1"/>
    <xf numFmtId="10" fontId="39" fillId="3" borderId="0" xfId="0" applyNumberFormat="1" applyFont="1" applyFill="1"/>
    <xf numFmtId="169" fontId="39" fillId="3" borderId="0" xfId="0" applyNumberFormat="1" applyFont="1" applyFill="1"/>
    <xf numFmtId="0" fontId="40" fillId="11" borderId="0" xfId="0" applyFont="1" applyFill="1" applyAlignment="1">
      <alignment horizontal="left" vertical="center" indent="1"/>
    </xf>
    <xf numFmtId="167" fontId="36" fillId="4" borderId="0" xfId="0" applyNumberFormat="1" applyFont="1" applyFill="1" applyAlignment="1">
      <alignment horizontal="right" vertical="center" wrapText="1" indent="1"/>
    </xf>
    <xf numFmtId="167" fontId="22" fillId="4" borderId="0" xfId="0" applyNumberFormat="1" applyFont="1" applyFill="1" applyAlignment="1">
      <alignment horizontal="right" vertical="center" wrapText="1" indent="1"/>
    </xf>
    <xf numFmtId="0" fontId="41" fillId="3" borderId="0" xfId="0" applyFont="1" applyFill="1"/>
    <xf numFmtId="0" fontId="38" fillId="8" borderId="0" xfId="0" applyFont="1" applyFill="1" applyAlignment="1">
      <alignment horizontal="center" vertical="center"/>
    </xf>
    <xf numFmtId="0" fontId="35" fillId="3" borderId="0" xfId="0" applyFont="1" applyFill="1"/>
    <xf numFmtId="4" fontId="39" fillId="3" borderId="0" xfId="0" applyNumberFormat="1" applyFont="1" applyFill="1"/>
    <xf numFmtId="3" fontId="39" fillId="3" borderId="0" xfId="0" applyNumberFormat="1" applyFont="1" applyFill="1"/>
    <xf numFmtId="164" fontId="0" fillId="0" borderId="0" xfId="0" applyNumberFormat="1"/>
    <xf numFmtId="169" fontId="0" fillId="0" borderId="0" xfId="0" applyNumberFormat="1"/>
    <xf numFmtId="10" fontId="0" fillId="0" borderId="0" xfId="0" applyNumberFormat="1"/>
    <xf numFmtId="4" fontId="0" fillId="0" borderId="0" xfId="0" applyNumberFormat="1"/>
    <xf numFmtId="170" fontId="0" fillId="0" borderId="0" xfId="0" applyNumberFormat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75" fontId="0" fillId="0" borderId="0" xfId="0" applyNumberFormat="1"/>
    <xf numFmtId="176" fontId="39" fillId="3" borderId="0" xfId="0" applyNumberFormat="1" applyFont="1" applyFill="1"/>
    <xf numFmtId="0" fontId="13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 indent="1"/>
    </xf>
    <xf numFmtId="0" fontId="15" fillId="3" borderId="0" xfId="0" applyFont="1" applyFill="1" applyAlignment="1">
      <alignment horizontal="right" vertical="center" indent="1"/>
    </xf>
    <xf numFmtId="0" fontId="16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right" vertical="center" indent="1"/>
    </xf>
    <xf numFmtId="167" fontId="2" fillId="4" borderId="0" xfId="0" applyNumberFormat="1" applyFont="1" applyFill="1" applyAlignment="1">
      <alignment horizontal="left" vertical="center" indent="2"/>
    </xf>
    <xf numFmtId="165" fontId="2" fillId="4" borderId="0" xfId="0" applyNumberFormat="1" applyFont="1" applyFill="1" applyAlignment="1">
      <alignment horizontal="left" vertical="center" indent="2"/>
    </xf>
    <xf numFmtId="168" fontId="2" fillId="4" borderId="0" xfId="0" applyNumberFormat="1" applyFont="1" applyFill="1" applyAlignment="1">
      <alignment horizontal="left" vertical="center" indent="2"/>
    </xf>
    <xf numFmtId="164" fontId="2" fillId="4" borderId="0" xfId="0" applyNumberFormat="1" applyFont="1" applyFill="1" applyAlignment="1">
      <alignment horizontal="left" vertical="center" indent="2"/>
    </xf>
    <xf numFmtId="0" fontId="17" fillId="3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 indent="2"/>
    </xf>
    <xf numFmtId="0" fontId="18" fillId="8" borderId="1" xfId="0" applyFont="1" applyFill="1" applyBorder="1" applyAlignment="1">
      <alignment horizontal="center" vertical="center" wrapText="1"/>
    </xf>
    <xf numFmtId="164" fontId="20" fillId="4" borderId="0" xfId="0" applyNumberFormat="1" applyFont="1" applyFill="1" applyAlignment="1">
      <alignment horizontal="right" vertical="center" wrapText="1" indent="1"/>
    </xf>
    <xf numFmtId="166" fontId="20" fillId="4" borderId="0" xfId="0" applyNumberFormat="1" applyFont="1" applyFill="1" applyAlignment="1">
      <alignment horizontal="center" vertical="center" wrapText="1"/>
    </xf>
    <xf numFmtId="0" fontId="13" fillId="4" borderId="0" xfId="0" applyFont="1" applyFill="1" applyAlignment="1">
      <alignment horizontal="left" vertical="center" indent="2"/>
    </xf>
    <xf numFmtId="0" fontId="0" fillId="9" borderId="0" xfId="0" applyFill="1"/>
    <xf numFmtId="0" fontId="13" fillId="3" borderId="0" xfId="0" applyFont="1" applyFill="1" applyAlignment="1">
      <alignment horizontal="left" vertical="center" indent="1"/>
    </xf>
    <xf numFmtId="0" fontId="13" fillId="3" borderId="0" xfId="0" applyFont="1" applyFill="1" applyAlignment="1">
      <alignment horizontal="right" vertical="center" indent="1"/>
    </xf>
    <xf numFmtId="0" fontId="21" fillId="3" borderId="0" xfId="0" applyFont="1" applyFill="1" applyAlignment="1">
      <alignment horizontal="right" vertical="center" indent="1"/>
    </xf>
    <xf numFmtId="171" fontId="2" fillId="4" borderId="0" xfId="0" applyNumberFormat="1" applyFont="1" applyFill="1" applyAlignment="1">
      <alignment horizontal="left" vertical="center" indent="2"/>
    </xf>
    <xf numFmtId="172" fontId="2" fillId="4" borderId="0" xfId="0" applyNumberFormat="1" applyFont="1" applyFill="1" applyAlignment="1">
      <alignment horizontal="left" vertical="center" indent="2"/>
    </xf>
    <xf numFmtId="0" fontId="23" fillId="3" borderId="0" xfId="0" applyFont="1" applyFill="1" applyAlignment="1">
      <alignment horizontal="right" vertical="center" indent="1"/>
    </xf>
    <xf numFmtId="173" fontId="2" fillId="4" borderId="0" xfId="0" applyNumberFormat="1" applyFont="1" applyFill="1" applyAlignment="1">
      <alignment horizontal="left" vertical="center" indent="2"/>
    </xf>
    <xf numFmtId="174" fontId="2" fillId="4" borderId="0" xfId="0" applyNumberFormat="1" applyFont="1" applyFill="1" applyAlignment="1">
      <alignment horizontal="left" vertical="center" indent="2"/>
    </xf>
    <xf numFmtId="3" fontId="2" fillId="4" borderId="0" xfId="0" applyNumberFormat="1" applyFont="1" applyFill="1" applyAlignment="1">
      <alignment horizontal="left" vertical="center" indent="2"/>
    </xf>
    <xf numFmtId="0" fontId="24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  <xf numFmtId="0" fontId="1" fillId="11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0F6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E1117"/>
      <rgbColor rgb="FF808000"/>
      <rgbColor rgb="FF800080"/>
      <rgbColor rgb="FF008080"/>
      <rgbColor rgb="FFB1BAC4"/>
      <rgbColor rgb="FF6E7681"/>
      <rgbColor rgb="FFA78BFA"/>
      <rgbColor rgb="FF993366"/>
      <rgbColor rgb="FFFFFFCC"/>
      <rgbColor rgb="FFE6EDF3"/>
      <rgbColor rgb="FF660066"/>
      <rgbColor rgb="FFF8717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EA3FF"/>
      <rgbColor rgb="FFCCFFFF"/>
      <rgbColor rgb="FFCCFFCC"/>
      <rgbColor rgb="FFFFFF99"/>
      <rgbColor rgb="FF79C0FF"/>
      <rgbColor rgb="FFF472B6"/>
      <rgbColor rgb="FFCC99FF"/>
      <rgbColor rgb="FFFFCC99"/>
      <rgbColor rgb="FF60A5FA"/>
      <rgbColor rgb="FF22D3EE"/>
      <rgbColor rgb="FF99CC00"/>
      <rgbColor rgb="FFFBBF24"/>
      <rgbColor rgb="FFFF9900"/>
      <rgbColor rgb="FFFF6600"/>
      <rgbColor rgb="FF4F81BD"/>
      <rgbColor rgb="FF8B949E"/>
      <rgbColor rgb="FF161B22"/>
      <rgbColor rgb="FF10B981"/>
      <rgbColor rgb="FF1C2128"/>
      <rgbColor rgb="FF21262D"/>
      <rgbColor rgb="FF993300"/>
      <rgbColor rgb="FF993366"/>
      <rgbColor rgb="FF333399"/>
      <rgbColor rgb="FF262C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E6EDF3"/>
                </a:solidFill>
                <a:latin typeface="Segoe UI"/>
              </a:defRPr>
            </a:pPr>
            <a:r>
              <a:rPr lang="es-CO" sz="1300" b="1" strike="noStrike" spc="-1">
                <a:solidFill>
                  <a:srgbClr val="E6EDF3"/>
                </a:solidFill>
                <a:latin typeface="Segoe UI"/>
              </a:rPr>
              <a:t>CAPEX por disciplina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_DATA_VIZ!$B$1</c:f>
              <c:strCache>
                <c:ptCount val="1"/>
                <c:pt idx="0">
                  <c:v>Subtotal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A3FF"/>
              </a:solidFill>
              <a:ln w="12600">
                <a:solidFill>
                  <a:srgbClr val="161B22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0768-4307-AC41-09029C0D0E0E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12600">
                <a:solidFill>
                  <a:srgbClr val="161B22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768-4307-AC41-09029C0D0E0E}"/>
              </c:ext>
            </c:extLst>
          </c:dPt>
          <c:dPt>
            <c:idx val="2"/>
            <c:bubble3D val="0"/>
            <c:spPr>
              <a:solidFill>
                <a:srgbClr val="FBBF24"/>
              </a:solidFill>
              <a:ln w="12600">
                <a:solidFill>
                  <a:srgbClr val="161B22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0768-4307-AC41-09029C0D0E0E}"/>
              </c:ext>
            </c:extLst>
          </c:dPt>
          <c:dPt>
            <c:idx val="3"/>
            <c:bubble3D val="0"/>
            <c:spPr>
              <a:solidFill>
                <a:srgbClr val="A78BFA"/>
              </a:solidFill>
              <a:ln w="12600">
                <a:solidFill>
                  <a:srgbClr val="161B22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0768-4307-AC41-09029C0D0E0E}"/>
              </c:ext>
            </c:extLst>
          </c:dPt>
          <c:dPt>
            <c:idx val="4"/>
            <c:bubble3D val="0"/>
            <c:spPr>
              <a:solidFill>
                <a:srgbClr val="22D3EE"/>
              </a:solidFill>
              <a:ln w="12600">
                <a:solidFill>
                  <a:srgbClr val="161B22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0768-4307-AC41-09029C0D0E0E}"/>
              </c:ext>
            </c:extLst>
          </c:dPt>
          <c:dPt>
            <c:idx val="5"/>
            <c:bubble3D val="0"/>
            <c:spPr>
              <a:solidFill>
                <a:srgbClr val="F87171"/>
              </a:solidFill>
              <a:ln w="12600">
                <a:solidFill>
                  <a:srgbClr val="161B22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0768-4307-AC41-09029C0D0E0E}"/>
              </c:ext>
            </c:extLst>
          </c:dPt>
          <c:dPt>
            <c:idx val="6"/>
            <c:bubble3D val="0"/>
            <c:spPr>
              <a:solidFill>
                <a:srgbClr val="F472B6"/>
              </a:solidFill>
              <a:ln w="12600">
                <a:solidFill>
                  <a:srgbClr val="161B22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0768-4307-AC41-09029C0D0E0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768-4307-AC41-09029C0D0E0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768-4307-AC41-09029C0D0E0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768-4307-AC41-09029C0D0E0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0768-4307-AC41-09029C0D0E0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0768-4307-AC41-09029C0D0E0E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0768-4307-AC41-09029C0D0E0E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0768-4307-AC41-09029C0D0E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_DATA_VIZ!$A$2:$A$8</c:f>
              <c:strCache>
                <c:ptCount val="7"/>
                <c:pt idx="0">
                  <c:v>Equipos principales</c:v>
                </c:pt>
                <c:pt idx="1">
                  <c:v>Instrumentación y control</c:v>
                </c:pt>
                <c:pt idx="2">
                  <c:v>Logística y aduanas</c:v>
                </c:pt>
                <c:pt idx="3">
                  <c:v>Sistemas auxiliares</c:v>
                </c:pt>
                <c:pt idx="4">
                  <c:v>Ingeniería</c:v>
                </c:pt>
                <c:pt idx="5">
                  <c:v>Instalación</c:v>
                </c:pt>
                <c:pt idx="6">
                  <c:v>Puesta en marcha</c:v>
                </c:pt>
              </c:strCache>
            </c:strRef>
          </c:cat>
          <c:val>
            <c:numRef>
              <c:f>_DATA_VIZ!$B$2:$B$8</c:f>
              <c:numCache>
                <c:formatCode>\$#,##0</c:formatCode>
                <c:ptCount val="7"/>
                <c:pt idx="0">
                  <c:v>22000</c:v>
                </c:pt>
                <c:pt idx="1">
                  <c:v>24075</c:v>
                </c:pt>
                <c:pt idx="2">
                  <c:v>5000</c:v>
                </c:pt>
                <c:pt idx="3">
                  <c:v>25000</c:v>
                </c:pt>
                <c:pt idx="4">
                  <c:v>15000</c:v>
                </c:pt>
                <c:pt idx="5" formatCode="General">
                  <c:v>0</c:v>
                </c:pt>
                <c:pt idx="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768-4307-AC41-09029C0D0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8B949E"/>
              </a:solidFill>
              <a:latin typeface="Segoe U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161B22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E6EDF3"/>
                </a:solidFill>
                <a:latin typeface="Segoe UI"/>
              </a:defRPr>
            </a:pPr>
            <a:r>
              <a:rPr lang="es-CO" sz="1300" b="1" strike="noStrike" spc="-1">
                <a:solidFill>
                  <a:srgbClr val="E6EDF3"/>
                </a:solidFill>
                <a:latin typeface="Segoe UI"/>
              </a:rPr>
              <a:t>VPN por escenario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_DATA_VIZ!$E$1</c:f>
              <c:strCache>
                <c:ptCount val="1"/>
                <c:pt idx="0">
                  <c:v>VPN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8717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794-4EA4-8348-4F34CAFC4DD6}"/>
              </c:ext>
            </c:extLst>
          </c:dPt>
          <c:dPt>
            <c:idx val="1"/>
            <c:invertIfNegative val="0"/>
            <c:bubble3D val="0"/>
            <c:spPr>
              <a:solidFill>
                <a:srgbClr val="2EA3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794-4EA4-8348-4F34CAFC4DD6}"/>
              </c:ext>
            </c:extLst>
          </c:dPt>
          <c:dPt>
            <c:idx val="2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794-4EA4-8348-4F34CAFC4DD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794-4EA4-8348-4F34CAFC4DD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794-4EA4-8348-4F34CAFC4DD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794-4EA4-8348-4F34CAFC4D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_DATA_VIZ!$D$2:$D$4</c:f>
              <c:strCache>
                <c:ptCount val="3"/>
                <c:pt idx="0">
                  <c:v>Pesimista</c:v>
                </c:pt>
                <c:pt idx="1">
                  <c:v>Base</c:v>
                </c:pt>
                <c:pt idx="2">
                  <c:v>Optimista</c:v>
                </c:pt>
              </c:strCache>
            </c:strRef>
          </c:cat>
          <c:val>
            <c:numRef>
              <c:f>_DATA_VIZ!$E$2:$E$4</c:f>
              <c:numCache>
                <c:formatCode>\$#,##0;[Red]"-$"#,##0</c:formatCode>
                <c:ptCount val="3"/>
                <c:pt idx="0" formatCode="\$#,##0.00">
                  <c:v>1229217.3146309699</c:v>
                </c:pt>
                <c:pt idx="1">
                  <c:v>2004916.2285840025</c:v>
                </c:pt>
                <c:pt idx="2" formatCode="\$#,##0.00">
                  <c:v>3163697.4451926202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94-4EA4-8348-4F34CAFC4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246774"/>
        <c:axId val="53913357"/>
      </c:barChart>
      <c:catAx>
        <c:axId val="36246774"/>
        <c:scaling>
          <c:orientation val="minMax"/>
        </c:scaling>
        <c:delete val="0"/>
        <c:axPos val="b"/>
        <c:majorGridlines>
          <c:spPr>
            <a:ln w="3240">
              <a:solidFill>
                <a:srgbClr val="262C36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262C36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8B949E"/>
                </a:solidFill>
                <a:latin typeface="Segoe UI"/>
              </a:defRPr>
            </a:pPr>
            <a:endParaRPr lang="es-CO"/>
          </a:p>
        </c:txPr>
        <c:crossAx val="53913357"/>
        <c:crosses val="autoZero"/>
        <c:auto val="1"/>
        <c:lblAlgn val="ctr"/>
        <c:lblOffset val="100"/>
        <c:noMultiLvlLbl val="0"/>
      </c:catAx>
      <c:valAx>
        <c:axId val="53913357"/>
        <c:scaling>
          <c:orientation val="minMax"/>
        </c:scaling>
        <c:delete val="0"/>
        <c:axPos val="l"/>
        <c:majorGridlines>
          <c:spPr>
            <a:ln w="3240">
              <a:solidFill>
                <a:srgbClr val="262C3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8B949E"/>
                    </a:solidFill>
                    <a:latin typeface="Segoe UI"/>
                  </a:defRPr>
                </a:pPr>
                <a:r>
                  <a:rPr lang="es-CO" sz="1000" b="0" strike="noStrike" spc="-1">
                    <a:solidFill>
                      <a:srgbClr val="8B949E"/>
                    </a:solidFill>
                    <a:latin typeface="Segoe UI"/>
                  </a:rPr>
                  <a:t>VPN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6480">
            <a:solidFill>
              <a:srgbClr val="262C36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8B949E"/>
                </a:solidFill>
                <a:latin typeface="Segoe UI"/>
              </a:defRPr>
            </a:pPr>
            <a:endParaRPr lang="es-CO"/>
          </a:p>
        </c:txPr>
        <c:crossAx val="362467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161B22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E6EDF3"/>
                </a:solidFill>
                <a:latin typeface="Segoe UI"/>
              </a:defRPr>
            </a:pPr>
            <a:r>
              <a:rPr lang="es-CO" sz="1300" b="1" strike="noStrike" spc="-1">
                <a:solidFill>
                  <a:srgbClr val="E6EDF3"/>
                </a:solidFill>
                <a:latin typeface="Segoe UI"/>
              </a:rPr>
              <a:t>Flujo de Caja Descontado Acumulado · Escenario Base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_DATA_VIZ!$J$1</c:f>
              <c:strCache>
                <c:ptCount val="1"/>
                <c:pt idx="0">
                  <c:v>FC desc. acumulado (Base)</c:v>
                </c:pt>
              </c:strCache>
            </c:strRef>
          </c:tx>
          <c:spPr>
            <a:ln w="28080">
              <a:solidFill>
                <a:srgbClr val="2EA3F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_DATA_VIZ!$I$2:$I$17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_DATA_VIZ!$J$2:$J$17</c:f>
              <c:numCache>
                <c:formatCode>\$#,##0;[Red]"-$"#,##0;\-</c:formatCode>
                <c:ptCount val="16"/>
                <c:pt idx="0">
                  <c:v>-384561</c:v>
                </c:pt>
                <c:pt idx="1">
                  <c:v>-191967.84717023067</c:v>
                </c:pt>
                <c:pt idx="2">
                  <c:v>-4724.5041412882856</c:v>
                </c:pt>
                <c:pt idx="3">
                  <c:v>177317.63491462791</c:v>
                </c:pt>
                <c:pt idx="4">
                  <c:v>354303.04788565752</c:v>
                </c:pt>
                <c:pt idx="5">
                  <c:v>526372.19938526966</c:v>
                </c:pt>
                <c:pt idx="6">
                  <c:v>693661.65223211481</c:v>
                </c:pt>
                <c:pt idx="7">
                  <c:v>856304.17583321419</c:v>
                </c:pt>
                <c:pt idx="8">
                  <c:v>1014428.8515565053</c:v>
                </c:pt>
                <c:pt idx="9">
                  <c:v>1168161.1751763716</c:v>
                </c:pt>
                <c:pt idx="10">
                  <c:v>1317623.1564734639</c:v>
                </c:pt>
                <c:pt idx="11">
                  <c:v>1462933.4160678592</c:v>
                </c:pt>
                <c:pt idx="12">
                  <c:v>1604207.2795624102</c:v>
                </c:pt>
                <c:pt idx="13">
                  <c:v>1741556.8690710014</c:v>
                </c:pt>
                <c:pt idx="14">
                  <c:v>1875091.1922043541</c:v>
                </c:pt>
                <c:pt idx="15">
                  <c:v>2004916.2285840025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83-44FA-84B5-215AA955F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5508014"/>
        <c:axId val="78879439"/>
      </c:lineChart>
      <c:catAx>
        <c:axId val="95508014"/>
        <c:scaling>
          <c:orientation val="minMax"/>
        </c:scaling>
        <c:delete val="0"/>
        <c:axPos val="b"/>
        <c:majorGridlines>
          <c:spPr>
            <a:ln w="3240">
              <a:solidFill>
                <a:srgbClr val="262C36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8B949E"/>
                    </a:solidFill>
                    <a:latin typeface="Segoe UI"/>
                  </a:defRPr>
                </a:pPr>
                <a:r>
                  <a:rPr lang="es-CO" sz="1000" b="0" strike="noStrike" spc="-1">
                    <a:solidFill>
                      <a:srgbClr val="8B949E"/>
                    </a:solidFill>
                    <a:latin typeface="Segoe U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262C36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8B949E"/>
                </a:solidFill>
                <a:latin typeface="Segoe UI"/>
              </a:defRPr>
            </a:pPr>
            <a:endParaRPr lang="es-CO"/>
          </a:p>
        </c:txPr>
        <c:crossAx val="78879439"/>
        <c:crosses val="autoZero"/>
        <c:auto val="1"/>
        <c:lblAlgn val="ctr"/>
        <c:lblOffset val="100"/>
        <c:noMultiLvlLbl val="0"/>
      </c:catAx>
      <c:valAx>
        <c:axId val="78879439"/>
        <c:scaling>
          <c:orientation val="minMax"/>
        </c:scaling>
        <c:delete val="0"/>
        <c:axPos val="l"/>
        <c:majorGridlines>
          <c:spPr>
            <a:ln w="3240">
              <a:solidFill>
                <a:srgbClr val="262C3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8B949E"/>
                    </a:solidFill>
                    <a:latin typeface="Segoe UI"/>
                  </a:defRPr>
                </a:pPr>
                <a:r>
                  <a:rPr lang="es-CO" sz="1000" b="0" strike="noStrike" spc="-1">
                    <a:solidFill>
                      <a:srgbClr val="8B949E"/>
                    </a:solidFill>
                    <a:latin typeface="Segoe UI"/>
                  </a:rPr>
                  <a:t>FC acumulado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-$&quot;#,##0;\-" sourceLinked="0"/>
        <c:majorTickMark val="none"/>
        <c:minorTickMark val="none"/>
        <c:tickLblPos val="nextTo"/>
        <c:spPr>
          <a:ln w="6480">
            <a:solidFill>
              <a:srgbClr val="262C36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8B949E"/>
                </a:solidFill>
                <a:latin typeface="Segoe UI"/>
              </a:defRPr>
            </a:pPr>
            <a:endParaRPr lang="es-CO"/>
          </a:p>
        </c:txPr>
        <c:crossAx val="955080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161B22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E6EDF3"/>
                </a:solidFill>
                <a:latin typeface="Segoe UI"/>
              </a:defRPr>
            </a:pPr>
            <a:r>
              <a:rPr lang="es-CO" sz="1300" b="1" strike="noStrike" spc="-1">
                <a:solidFill>
                  <a:srgbClr val="E6EDF3"/>
                </a:solidFill>
                <a:latin typeface="Segoe UI"/>
              </a:rPr>
              <a:t>Flujo de caja descontado · Escenario Base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_DATA_VIZ!$B$20</c:f>
              <c:strCache>
                <c:ptCount val="1"/>
                <c:pt idx="0">
                  <c:v>FC anual</c:v>
                </c:pt>
              </c:strCache>
            </c:strRef>
          </c:tx>
          <c:spPr>
            <a:solidFill>
              <a:srgbClr val="2EA3FF"/>
            </a:solidFill>
            <a:ln w="19080">
              <a:solidFill>
                <a:srgbClr val="2EA3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_DATA_VIZ!$A$21:$A$36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_DATA_VIZ!$B$21:$B$36</c:f>
              <c:numCache>
                <c:formatCode>\$#,##0;[Red]"-$"#,##0;\-</c:formatCode>
                <c:ptCount val="16"/>
                <c:pt idx="0">
                  <c:v>-384561</c:v>
                </c:pt>
                <c:pt idx="1">
                  <c:v>192593.15282976933</c:v>
                </c:pt>
                <c:pt idx="2">
                  <c:v>187243.34302894238</c:v>
                </c:pt>
                <c:pt idx="3">
                  <c:v>182042.1390559162</c:v>
                </c:pt>
                <c:pt idx="4">
                  <c:v>176985.41297102964</c:v>
                </c:pt>
                <c:pt idx="5">
                  <c:v>172069.15149961217</c:v>
                </c:pt>
                <c:pt idx="6">
                  <c:v>167289.45284684512</c:v>
                </c:pt>
                <c:pt idx="7">
                  <c:v>162642.52360109941</c:v>
                </c:pt>
                <c:pt idx="8">
                  <c:v>158124.67572329112</c:v>
                </c:pt>
                <c:pt idx="9">
                  <c:v>153732.32361986637</c:v>
                </c:pt>
                <c:pt idx="10">
                  <c:v>149461.98129709231</c:v>
                </c:pt>
                <c:pt idx="11">
                  <c:v>145310.25959439532</c:v>
                </c:pt>
                <c:pt idx="12">
                  <c:v>141273.86349455098</c:v>
                </c:pt>
                <c:pt idx="13">
                  <c:v>137349.58950859125</c:v>
                </c:pt>
                <c:pt idx="14">
                  <c:v>133534.32313335259</c:v>
                </c:pt>
                <c:pt idx="15">
                  <c:v>129825.03637964833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D-4D79-8FD6-42C0BE7B6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77335"/>
        <c:axId val="7555643"/>
      </c:barChart>
      <c:lineChart>
        <c:grouping val="standard"/>
        <c:varyColors val="0"/>
        <c:ser>
          <c:idx val="1"/>
          <c:order val="1"/>
          <c:tx>
            <c:strRef>
              <c:f>_DATA_VIZ!$C$20</c:f>
              <c:strCache>
                <c:ptCount val="1"/>
                <c:pt idx="0">
                  <c:v>FC desc. acum.</c:v>
                </c:pt>
              </c:strCache>
            </c:strRef>
          </c:tx>
          <c:spPr>
            <a:ln w="28080">
              <a:solidFill>
                <a:srgbClr val="10B98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_DATA_VIZ!$A$21:$A$36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_DATA_VIZ!$C$21:$C$36</c:f>
              <c:numCache>
                <c:formatCode>\$#,##0;[Red]"-$"#,##0;\-</c:formatCode>
                <c:ptCount val="16"/>
                <c:pt idx="0">
                  <c:v>-384561</c:v>
                </c:pt>
                <c:pt idx="1">
                  <c:v>-191967.84717023067</c:v>
                </c:pt>
                <c:pt idx="2">
                  <c:v>-4724.5041412882856</c:v>
                </c:pt>
                <c:pt idx="3">
                  <c:v>177317.63491462791</c:v>
                </c:pt>
                <c:pt idx="4">
                  <c:v>354303.04788565752</c:v>
                </c:pt>
                <c:pt idx="5">
                  <c:v>526372.19938526966</c:v>
                </c:pt>
                <c:pt idx="6">
                  <c:v>693661.65223211481</c:v>
                </c:pt>
                <c:pt idx="7">
                  <c:v>856304.17583321419</c:v>
                </c:pt>
                <c:pt idx="8">
                  <c:v>1014428.8515565053</c:v>
                </c:pt>
                <c:pt idx="9">
                  <c:v>1168161.1751763716</c:v>
                </c:pt>
                <c:pt idx="10">
                  <c:v>1317623.1564734639</c:v>
                </c:pt>
                <c:pt idx="11">
                  <c:v>1462933.4160678592</c:v>
                </c:pt>
                <c:pt idx="12">
                  <c:v>1604207.2795624102</c:v>
                </c:pt>
                <c:pt idx="13">
                  <c:v>1741556.8690710014</c:v>
                </c:pt>
                <c:pt idx="14">
                  <c:v>1875091.1922043541</c:v>
                </c:pt>
                <c:pt idx="15">
                  <c:v>2004916.2285840025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03D-4D79-8FD6-42C0BE7B6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3759092"/>
        <c:axId val="17939187"/>
      </c:lineChart>
      <c:catAx>
        <c:axId val="24077335"/>
        <c:scaling>
          <c:orientation val="minMax"/>
        </c:scaling>
        <c:delete val="0"/>
        <c:axPos val="b"/>
        <c:majorGridlines>
          <c:spPr>
            <a:ln w="3240">
              <a:solidFill>
                <a:srgbClr val="262C36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8B949E"/>
                    </a:solidFill>
                    <a:latin typeface="Segoe UI"/>
                  </a:defRPr>
                </a:pPr>
                <a:r>
                  <a:rPr lang="es-CO" sz="1000" b="0" strike="noStrike" spc="-1">
                    <a:solidFill>
                      <a:srgbClr val="8B949E"/>
                    </a:solidFill>
                    <a:latin typeface="Segoe U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262C36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8B949E"/>
                </a:solidFill>
                <a:latin typeface="Segoe UI"/>
              </a:defRPr>
            </a:pPr>
            <a:endParaRPr lang="es-CO"/>
          </a:p>
        </c:txPr>
        <c:crossAx val="7555643"/>
        <c:crosses val="autoZero"/>
        <c:auto val="1"/>
        <c:lblAlgn val="ctr"/>
        <c:lblOffset val="100"/>
        <c:noMultiLvlLbl val="0"/>
      </c:catAx>
      <c:valAx>
        <c:axId val="7555643"/>
        <c:scaling>
          <c:orientation val="minMax"/>
        </c:scaling>
        <c:delete val="0"/>
        <c:axPos val="l"/>
        <c:majorGridlines>
          <c:spPr>
            <a:ln w="3240">
              <a:solidFill>
                <a:srgbClr val="262C3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8B949E"/>
                    </a:solidFill>
                    <a:latin typeface="Segoe UI"/>
                  </a:defRPr>
                </a:pPr>
                <a:r>
                  <a:rPr lang="es-CO" sz="1000" b="0" strike="noStrike" spc="-1">
                    <a:solidFill>
                      <a:srgbClr val="8B949E"/>
                    </a:solidFill>
                    <a:latin typeface="Segoe UI"/>
                  </a:rPr>
                  <a:t>FC anual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-$&quot;#,##0;\-" sourceLinked="0"/>
        <c:majorTickMark val="none"/>
        <c:minorTickMark val="none"/>
        <c:tickLblPos val="nextTo"/>
        <c:spPr>
          <a:ln w="6480">
            <a:solidFill>
              <a:srgbClr val="262C36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8B949E"/>
                </a:solidFill>
                <a:latin typeface="Segoe UI"/>
              </a:defRPr>
            </a:pPr>
            <a:endParaRPr lang="es-CO"/>
          </a:p>
        </c:txPr>
        <c:crossAx val="24077335"/>
        <c:crosses val="autoZero"/>
        <c:crossBetween val="between"/>
      </c:valAx>
      <c:catAx>
        <c:axId val="937590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8B949E"/>
                    </a:solidFill>
                    <a:latin typeface="Segoe UI"/>
                  </a:defRPr>
                </a:pPr>
                <a:r>
                  <a:rPr lang="es-CO" sz="1000" b="0" strike="noStrike" spc="-1">
                    <a:solidFill>
                      <a:srgbClr val="8B949E"/>
                    </a:solidFill>
                    <a:latin typeface="Segoe U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262C36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8B949E"/>
                </a:solidFill>
                <a:latin typeface="Segoe UI"/>
              </a:defRPr>
            </a:pPr>
            <a:endParaRPr lang="es-CO"/>
          </a:p>
        </c:txPr>
        <c:crossAx val="17939187"/>
        <c:crosses val="autoZero"/>
        <c:auto val="1"/>
        <c:lblAlgn val="ctr"/>
        <c:lblOffset val="100"/>
        <c:noMultiLvlLbl val="0"/>
      </c:catAx>
      <c:valAx>
        <c:axId val="1793918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8B949E"/>
                    </a:solidFill>
                    <a:latin typeface="Segoe UI"/>
                  </a:defRPr>
                </a:pPr>
                <a:r>
                  <a:rPr lang="es-CO" sz="1000" b="0" strike="noStrike" spc="-1">
                    <a:solidFill>
                      <a:srgbClr val="8B949E"/>
                    </a:solidFill>
                    <a:latin typeface="Segoe UI"/>
                  </a:rPr>
                  <a:t>FC acum. descontado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-$&quot;#,##0;\-" sourceLinked="0"/>
        <c:majorTickMark val="none"/>
        <c:minorTickMark val="none"/>
        <c:tickLblPos val="nextTo"/>
        <c:spPr>
          <a:ln w="6480">
            <a:solidFill>
              <a:srgbClr val="262C36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8B949E"/>
                </a:solidFill>
                <a:latin typeface="Segoe UI"/>
              </a:defRPr>
            </a:pPr>
            <a:endParaRPr lang="es-CO"/>
          </a:p>
        </c:txPr>
        <c:crossAx val="93759092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161B22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E6EDF3"/>
                </a:solidFill>
                <a:latin typeface="Segoe UI"/>
              </a:defRPr>
            </a:pPr>
            <a:r>
              <a:rPr lang="es-CO" sz="1300" b="1" strike="noStrike" spc="-1">
                <a:solidFill>
                  <a:srgbClr val="E6EDF3"/>
                </a:solidFill>
                <a:latin typeface="Segoe UI"/>
              </a:rPr>
              <a:t>Tornado: </a:t>
            </a:r>
            <a:r>
              <a:rPr lang="el-GR" sz="1300" b="1" strike="noStrike" spc="-1">
                <a:solidFill>
                  <a:srgbClr val="E6EDF3"/>
                </a:solidFill>
                <a:latin typeface="Segoe UI"/>
              </a:rPr>
              <a:t>Δ-</a:t>
            </a:r>
            <a:r>
              <a:rPr lang="es-CO" sz="1300" b="1" strike="noStrike" spc="-1">
                <a:solidFill>
                  <a:srgbClr val="E6EDF3"/>
                </a:solidFill>
                <a:latin typeface="Segoe UI"/>
              </a:rPr>
              <a:t>VPN ante variación ±25 %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_DATA_VIZ!$F$20</c:f>
              <c:strCache>
                <c:ptCount val="1"/>
                <c:pt idx="0">
                  <c:v>Low (-25%)</c:v>
                </c:pt>
              </c:strCache>
            </c:strRef>
          </c:tx>
          <c:spPr>
            <a:solidFill>
              <a:srgbClr val="F87171"/>
            </a:solidFill>
            <a:ln w="19080">
              <a:solidFill>
                <a:srgbClr val="F8717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_DATA_VIZ!$E$21:$E$25</c:f>
              <c:strCache>
                <c:ptCount val="5"/>
                <c:pt idx="0">
                  <c:v>CAPEX</c:v>
                </c:pt>
                <c:pt idx="1">
                  <c:v>Ahorro</c:v>
                </c:pt>
                <c:pt idx="2">
                  <c:v>WACC</c:v>
                </c:pt>
                <c:pt idx="3">
                  <c:v>EscOPEX</c:v>
                </c:pt>
                <c:pt idx="4">
                  <c:v>Horas</c:v>
                </c:pt>
              </c:strCache>
            </c:strRef>
          </c:cat>
          <c:val>
            <c:numRef>
              <c:f>_DATA_VIZ!$F$21:$F$25</c:f>
              <c:numCache>
                <c:formatCode>\$#,##0;[Red]"-$"#,##0</c:formatCode>
                <c:ptCount val="5"/>
                <c:pt idx="0">
                  <c:v>96140.249999999767</c:v>
                </c:pt>
                <c:pt idx="1">
                  <c:v>-597369.30714600044</c:v>
                </c:pt>
                <c:pt idx="2">
                  <c:v>367277.65520680998</c:v>
                </c:pt>
                <c:pt idx="3">
                  <c:v>-175383.12772660865</c:v>
                </c:pt>
                <c:pt idx="4">
                  <c:v>-597369.30714600044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2-4556-8C66-B0FA7C402B60}"/>
            </c:ext>
          </c:extLst>
        </c:ser>
        <c:ser>
          <c:idx val="1"/>
          <c:order val="1"/>
          <c:tx>
            <c:strRef>
              <c:f>_DATA_VIZ!$G$20</c:f>
              <c:strCache>
                <c:ptCount val="1"/>
                <c:pt idx="0">
                  <c:v>High (+25%)</c:v>
                </c:pt>
              </c:strCache>
            </c:strRef>
          </c:tx>
          <c:spPr>
            <a:solidFill>
              <a:srgbClr val="10B981"/>
            </a:solidFill>
            <a:ln w="19080">
              <a:solidFill>
                <a:srgbClr val="10B98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_DATA_VIZ!$E$21:$E$25</c:f>
              <c:strCache>
                <c:ptCount val="5"/>
                <c:pt idx="0">
                  <c:v>CAPEX</c:v>
                </c:pt>
                <c:pt idx="1">
                  <c:v>Ahorro</c:v>
                </c:pt>
                <c:pt idx="2">
                  <c:v>WACC</c:v>
                </c:pt>
                <c:pt idx="3">
                  <c:v>EscOPEX</c:v>
                </c:pt>
                <c:pt idx="4">
                  <c:v>Horas</c:v>
                </c:pt>
              </c:strCache>
            </c:strRef>
          </c:cat>
          <c:val>
            <c:numRef>
              <c:f>_DATA_VIZ!$G$21:$G$25</c:f>
              <c:numCache>
                <c:formatCode>\$#,##0;[Red]"-$"#,##0</c:formatCode>
                <c:ptCount val="5"/>
                <c:pt idx="0">
                  <c:v>-96140.25</c:v>
                </c:pt>
                <c:pt idx="1">
                  <c:v>597369.30714600044</c:v>
                </c:pt>
                <c:pt idx="2">
                  <c:v>-299815.27975436486</c:v>
                </c:pt>
                <c:pt idx="3">
                  <c:v>193672.68373597716</c:v>
                </c:pt>
                <c:pt idx="4">
                  <c:v>597369.30714600044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C2-4556-8C66-B0FA7C402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31702"/>
        <c:axId val="14416825"/>
      </c:barChart>
      <c:catAx>
        <c:axId val="16531702"/>
        <c:scaling>
          <c:orientation val="minMax"/>
        </c:scaling>
        <c:delete val="0"/>
        <c:axPos val="l"/>
        <c:majorGridlines>
          <c:spPr>
            <a:ln w="3240">
              <a:solidFill>
                <a:srgbClr val="262C3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8B949E"/>
                    </a:solidFill>
                    <a:latin typeface="Segoe UI"/>
                  </a:defRPr>
                </a:pPr>
                <a:r>
                  <a:rPr lang="el-GR" sz="1000" b="0" strike="noStrike" spc="-1">
                    <a:solidFill>
                      <a:srgbClr val="8B949E"/>
                    </a:solidFill>
                    <a:latin typeface="Segoe UI"/>
                  </a:rPr>
                  <a:t>Δ </a:t>
                </a:r>
                <a:r>
                  <a:rPr lang="es-CO" sz="1000" b="0" strike="noStrike" spc="-1">
                    <a:solidFill>
                      <a:srgbClr val="8B949E"/>
                    </a:solidFill>
                    <a:latin typeface="Segoe UI"/>
                  </a:rPr>
                  <a:t>VPN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262C36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8B949E"/>
                </a:solidFill>
                <a:latin typeface="Segoe UI"/>
              </a:defRPr>
            </a:pPr>
            <a:endParaRPr lang="es-CO"/>
          </a:p>
        </c:txPr>
        <c:crossAx val="14416825"/>
        <c:crosses val="autoZero"/>
        <c:auto val="1"/>
        <c:lblAlgn val="ctr"/>
        <c:lblOffset val="100"/>
        <c:noMultiLvlLbl val="0"/>
      </c:catAx>
      <c:valAx>
        <c:axId val="14416825"/>
        <c:scaling>
          <c:orientation val="minMax"/>
        </c:scaling>
        <c:delete val="0"/>
        <c:axPos val="b"/>
        <c:majorGridlines>
          <c:spPr>
            <a:ln w="3240">
              <a:solidFill>
                <a:srgbClr val="262C36"/>
              </a:solidFill>
              <a:round/>
            </a:ln>
          </c:spPr>
        </c:majorGridlines>
        <c:numFmt formatCode="\$#,##0;[Red]&quot;-$&quot;#,##0" sourceLinked="0"/>
        <c:majorTickMark val="none"/>
        <c:minorTickMark val="none"/>
        <c:tickLblPos val="nextTo"/>
        <c:spPr>
          <a:ln w="6480">
            <a:solidFill>
              <a:srgbClr val="262C36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8B949E"/>
                </a:solidFill>
                <a:latin typeface="Segoe UI"/>
              </a:defRPr>
            </a:pPr>
            <a:endParaRPr lang="es-CO"/>
          </a:p>
        </c:txPr>
        <c:crossAx val="165317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8B949E"/>
              </a:solidFill>
              <a:latin typeface="Segoe U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161B22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E6EDF3"/>
                </a:solidFill>
                <a:latin typeface="Segoe UI"/>
              </a:defRPr>
            </a:pPr>
            <a:r>
              <a:rPr lang="es-CO" sz="1300" b="1" strike="noStrike" spc="-1">
                <a:solidFill>
                  <a:srgbClr val="E6EDF3"/>
                </a:solidFill>
                <a:latin typeface="Segoe UI"/>
              </a:rPr>
              <a:t>Recuperación del CAPEX en el tiempo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_DATA_VIZ!$C$20</c:f>
              <c:strCache>
                <c:ptCount val="1"/>
                <c:pt idx="0">
                  <c:v>FC desc. acum.</c:v>
                </c:pt>
              </c:strCache>
            </c:strRef>
          </c:tx>
          <c:spPr>
            <a:ln w="28080">
              <a:solidFill>
                <a:srgbClr val="2EA3F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_DATA_VIZ!$A$21:$A$36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_DATA_VIZ!$C$21:$C$36</c:f>
              <c:numCache>
                <c:formatCode>\$#,##0;[Red]"-$"#,##0;\-</c:formatCode>
                <c:ptCount val="16"/>
                <c:pt idx="0">
                  <c:v>-384561</c:v>
                </c:pt>
                <c:pt idx="1">
                  <c:v>-191967.84717023067</c:v>
                </c:pt>
                <c:pt idx="2">
                  <c:v>-4724.5041412882856</c:v>
                </c:pt>
                <c:pt idx="3">
                  <c:v>177317.63491462791</c:v>
                </c:pt>
                <c:pt idx="4">
                  <c:v>354303.04788565752</c:v>
                </c:pt>
                <c:pt idx="5">
                  <c:v>526372.19938526966</c:v>
                </c:pt>
                <c:pt idx="6">
                  <c:v>693661.65223211481</c:v>
                </c:pt>
                <c:pt idx="7">
                  <c:v>856304.17583321419</c:v>
                </c:pt>
                <c:pt idx="8">
                  <c:v>1014428.8515565053</c:v>
                </c:pt>
                <c:pt idx="9">
                  <c:v>1168161.1751763716</c:v>
                </c:pt>
                <c:pt idx="10">
                  <c:v>1317623.1564734639</c:v>
                </c:pt>
                <c:pt idx="11">
                  <c:v>1462933.4160678592</c:v>
                </c:pt>
                <c:pt idx="12">
                  <c:v>1604207.2795624102</c:v>
                </c:pt>
                <c:pt idx="13">
                  <c:v>1741556.8690710014</c:v>
                </c:pt>
                <c:pt idx="14">
                  <c:v>1875091.1922043541</c:v>
                </c:pt>
                <c:pt idx="15">
                  <c:v>2004916.2285840025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F6-4920-9EB8-1AA3984FD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554918"/>
        <c:axId val="55478401"/>
      </c:lineChart>
      <c:catAx>
        <c:axId val="59554918"/>
        <c:scaling>
          <c:orientation val="minMax"/>
        </c:scaling>
        <c:delete val="0"/>
        <c:axPos val="b"/>
        <c:majorGridlines>
          <c:spPr>
            <a:ln w="3240">
              <a:solidFill>
                <a:srgbClr val="262C36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8B949E"/>
                    </a:solidFill>
                    <a:latin typeface="Segoe UI"/>
                  </a:defRPr>
                </a:pPr>
                <a:r>
                  <a:rPr lang="es-CO" sz="1000" b="0" strike="noStrike" spc="-1">
                    <a:solidFill>
                      <a:srgbClr val="8B949E"/>
                    </a:solidFill>
                    <a:latin typeface="Segoe U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262C36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8B949E"/>
                </a:solidFill>
                <a:latin typeface="Segoe UI"/>
              </a:defRPr>
            </a:pPr>
            <a:endParaRPr lang="es-CO"/>
          </a:p>
        </c:txPr>
        <c:crossAx val="55478401"/>
        <c:crosses val="autoZero"/>
        <c:auto val="1"/>
        <c:lblAlgn val="ctr"/>
        <c:lblOffset val="100"/>
        <c:noMultiLvlLbl val="0"/>
      </c:catAx>
      <c:valAx>
        <c:axId val="55478401"/>
        <c:scaling>
          <c:orientation val="minMax"/>
        </c:scaling>
        <c:delete val="0"/>
        <c:axPos val="l"/>
        <c:majorGridlines>
          <c:spPr>
            <a:ln w="3240">
              <a:solidFill>
                <a:srgbClr val="262C3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8B949E"/>
                    </a:solidFill>
                    <a:latin typeface="Segoe UI"/>
                  </a:defRPr>
                </a:pPr>
                <a:r>
                  <a:rPr lang="es-CO" sz="1000" b="0" strike="noStrike" spc="-1">
                    <a:solidFill>
                      <a:srgbClr val="8B949E"/>
                    </a:solidFill>
                    <a:latin typeface="Segoe U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-$&quot;#,##0;\-" sourceLinked="0"/>
        <c:majorTickMark val="none"/>
        <c:minorTickMark val="none"/>
        <c:tickLblPos val="nextTo"/>
        <c:spPr>
          <a:ln w="6480">
            <a:solidFill>
              <a:srgbClr val="262C36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8B949E"/>
                </a:solidFill>
                <a:latin typeface="Segoe UI"/>
              </a:defRPr>
            </a:pPr>
            <a:endParaRPr lang="es-CO"/>
          </a:p>
        </c:txPr>
        <c:crossAx val="595549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8B949E"/>
              </a:solidFill>
              <a:latin typeface="Segoe U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161B22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E6EDF3"/>
                </a:solidFill>
                <a:latin typeface="Segoe UI"/>
              </a:defRPr>
            </a:pPr>
            <a:r>
              <a:rPr lang="es-CO" sz="1300" b="1" strike="noStrike" spc="-1">
                <a:solidFill>
                  <a:srgbClr val="E6EDF3"/>
                </a:solidFill>
                <a:latin typeface="Segoe UI"/>
              </a:rPr>
              <a:t>OPEX por categoría · Caldera vs Bomba de Calor (USD/año)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_DATA_VIZ!$B$40</c:f>
              <c:strCache>
                <c:ptCount val="1"/>
                <c:pt idx="0">
                  <c:v>Caldera</c:v>
                </c:pt>
              </c:strCache>
            </c:strRef>
          </c:tx>
          <c:spPr>
            <a:solidFill>
              <a:srgbClr val="F87171"/>
            </a:solidFill>
            <a:ln w="19080">
              <a:solidFill>
                <a:srgbClr val="F8717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_DATA_VIZ!$A$41:$A$47</c:f>
              <c:strCache>
                <c:ptCount val="7"/>
                <c:pt idx="0">
                  <c:v>Energía</c:v>
                </c:pt>
                <c:pt idx="1">
                  <c:v>Mantenimiento</c:v>
                </c:pt>
                <c:pt idx="2">
                  <c:v>Químicos+Agua</c:v>
                </c:pt>
                <c:pt idx="3">
                  <c:v>Análisis</c:v>
                </c:pt>
                <c:pt idx="4">
                  <c:v>Personal</c:v>
                </c:pt>
                <c:pt idx="5">
                  <c:v>Seguros+Cert.</c:v>
                </c:pt>
                <c:pt idx="6">
                  <c:v>Ambiental</c:v>
                </c:pt>
              </c:strCache>
            </c:strRef>
          </c:cat>
          <c:val>
            <c:numRef>
              <c:f>_DATA_VIZ!$B$41:$B$47</c:f>
              <c:numCache>
                <c:formatCode>General</c:formatCode>
                <c:ptCount val="7"/>
                <c:pt idx="0" formatCode="\$#,##0;\-">
                  <c:v>208188.99754250579</c:v>
                </c:pt>
                <c:pt idx="1">
                  <c:v>38892.857142857138</c:v>
                </c:pt>
                <c:pt idx="2">
                  <c:v>22406.326530612241</c:v>
                </c:pt>
                <c:pt idx="3" formatCode="\$#,##0;\-">
                  <c:v>3232.6530612244896</c:v>
                </c:pt>
                <c:pt idx="4">
                  <c:v>10872.330327479829</c:v>
                </c:pt>
                <c:pt idx="5">
                  <c:v>7778.5714285714275</c:v>
                </c:pt>
                <c:pt idx="6">
                  <c:v>12369.763988633429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2-4448-A9DB-FE6F239B3424}"/>
            </c:ext>
          </c:extLst>
        </c:ser>
        <c:ser>
          <c:idx val="1"/>
          <c:order val="1"/>
          <c:tx>
            <c:strRef>
              <c:f>_DATA_VIZ!$C$40</c:f>
              <c:strCache>
                <c:ptCount val="1"/>
                <c:pt idx="0">
                  <c:v>Bomba calor</c:v>
                </c:pt>
              </c:strCache>
            </c:strRef>
          </c:tx>
          <c:spPr>
            <a:solidFill>
              <a:srgbClr val="10B981"/>
            </a:solidFill>
            <a:ln w="19080">
              <a:solidFill>
                <a:srgbClr val="10B98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_DATA_VIZ!$A$41:$A$47</c:f>
              <c:strCache>
                <c:ptCount val="7"/>
                <c:pt idx="0">
                  <c:v>Energía</c:v>
                </c:pt>
                <c:pt idx="1">
                  <c:v>Mantenimiento</c:v>
                </c:pt>
                <c:pt idx="2">
                  <c:v>Químicos+Agua</c:v>
                </c:pt>
                <c:pt idx="3">
                  <c:v>Análisis</c:v>
                </c:pt>
                <c:pt idx="4">
                  <c:v>Personal</c:v>
                </c:pt>
                <c:pt idx="5">
                  <c:v>Seguros+Cert.</c:v>
                </c:pt>
                <c:pt idx="6">
                  <c:v>Ambiental</c:v>
                </c:pt>
              </c:strCache>
            </c:strRef>
          </c:cat>
          <c:val>
            <c:numRef>
              <c:f>_DATA_VIZ!$C$41:$C$47</c:f>
              <c:numCache>
                <c:formatCode>General</c:formatCode>
                <c:ptCount val="7"/>
                <c:pt idx="0" formatCode="\$#,##0;\-">
                  <c:v>64759.81395348857</c:v>
                </c:pt>
                <c:pt idx="1">
                  <c:v>14647.959183673469</c:v>
                </c:pt>
                <c:pt idx="2">
                  <c:v>2161.8367346938771</c:v>
                </c:pt>
                <c:pt idx="3" formatCode="\$#,##0;\-">
                  <c:v>1818.3673469387754</c:v>
                </c:pt>
                <c:pt idx="4">
                  <c:v>4040.8163265306121</c:v>
                </c:pt>
                <c:pt idx="5">
                  <c:v>4950</c:v>
                </c:pt>
                <c:pt idx="6">
                  <c:v>3362.1014204081634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42-4448-A9DB-FE6F239B3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16817"/>
        <c:axId val="82192523"/>
      </c:barChart>
      <c:catAx>
        <c:axId val="22516817"/>
        <c:scaling>
          <c:orientation val="minMax"/>
        </c:scaling>
        <c:delete val="0"/>
        <c:axPos val="l"/>
        <c:majorGridlines>
          <c:spPr>
            <a:ln w="3240">
              <a:solidFill>
                <a:srgbClr val="262C3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8B949E"/>
                    </a:solidFill>
                    <a:latin typeface="Segoe UI"/>
                  </a:defRPr>
                </a:pPr>
                <a:r>
                  <a:rPr lang="es-CO" sz="1000" b="0" strike="noStrike" spc="-1">
                    <a:solidFill>
                      <a:srgbClr val="8B949E"/>
                    </a:solidFill>
                    <a:latin typeface="Segoe UI"/>
                  </a:rPr>
                  <a:t>USD/año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262C36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8B949E"/>
                </a:solidFill>
                <a:latin typeface="Segoe UI"/>
              </a:defRPr>
            </a:pPr>
            <a:endParaRPr lang="es-CO"/>
          </a:p>
        </c:txPr>
        <c:crossAx val="82192523"/>
        <c:crosses val="autoZero"/>
        <c:auto val="1"/>
        <c:lblAlgn val="ctr"/>
        <c:lblOffset val="100"/>
        <c:noMultiLvlLbl val="0"/>
      </c:catAx>
      <c:valAx>
        <c:axId val="82192523"/>
        <c:scaling>
          <c:orientation val="minMax"/>
        </c:scaling>
        <c:delete val="0"/>
        <c:axPos val="b"/>
        <c:majorGridlines>
          <c:spPr>
            <a:ln w="3240">
              <a:solidFill>
                <a:srgbClr val="262C36"/>
              </a:solidFill>
              <a:round/>
            </a:ln>
          </c:spPr>
        </c:majorGridlines>
        <c:numFmt formatCode="\$#,##0;\-" sourceLinked="0"/>
        <c:majorTickMark val="none"/>
        <c:minorTickMark val="none"/>
        <c:tickLblPos val="nextTo"/>
        <c:spPr>
          <a:ln w="6480">
            <a:solidFill>
              <a:srgbClr val="262C36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8B949E"/>
                </a:solidFill>
                <a:latin typeface="Segoe UI"/>
              </a:defRPr>
            </a:pPr>
            <a:endParaRPr lang="es-CO"/>
          </a:p>
        </c:txPr>
        <c:crossAx val="225168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8B949E"/>
              </a:solidFill>
              <a:latin typeface="Segoe U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161B22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E6EDF3"/>
                </a:solidFill>
                <a:latin typeface="Segoe UI"/>
              </a:defRPr>
            </a:pPr>
            <a:r>
              <a:rPr lang="es-CO" sz="1300" b="1" strike="noStrike" spc="-1">
                <a:solidFill>
                  <a:srgbClr val="E6EDF3"/>
                </a:solidFill>
                <a:latin typeface="Segoe UI"/>
              </a:rPr>
              <a:t>OPEX bomba de calor · Distribución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_DATA_VIZ!$F$40</c:f>
              <c:strCache>
                <c:ptCount val="1"/>
                <c:pt idx="0">
                  <c:v>BC (USD)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A3FF"/>
              </a:solidFill>
              <a:ln w="12600">
                <a:solidFill>
                  <a:srgbClr val="161B22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AC57-478C-AD79-3A0E8BF70CEF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12600">
                <a:solidFill>
                  <a:srgbClr val="161B22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AC57-478C-AD79-3A0E8BF70CEF}"/>
              </c:ext>
            </c:extLst>
          </c:dPt>
          <c:dPt>
            <c:idx val="2"/>
            <c:bubble3D val="0"/>
            <c:spPr>
              <a:solidFill>
                <a:srgbClr val="FBBF24"/>
              </a:solidFill>
              <a:ln w="12600">
                <a:solidFill>
                  <a:srgbClr val="161B22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AC57-478C-AD79-3A0E8BF70CEF}"/>
              </c:ext>
            </c:extLst>
          </c:dPt>
          <c:dPt>
            <c:idx val="3"/>
            <c:bubble3D val="0"/>
            <c:spPr>
              <a:solidFill>
                <a:srgbClr val="A78BFA"/>
              </a:solidFill>
              <a:ln w="12600">
                <a:solidFill>
                  <a:srgbClr val="161B22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AC57-478C-AD79-3A0E8BF70CEF}"/>
              </c:ext>
            </c:extLst>
          </c:dPt>
          <c:dPt>
            <c:idx val="4"/>
            <c:bubble3D val="0"/>
            <c:spPr>
              <a:solidFill>
                <a:srgbClr val="22D3EE"/>
              </a:solidFill>
              <a:ln w="12600">
                <a:solidFill>
                  <a:srgbClr val="161B22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AC57-478C-AD79-3A0E8BF70CEF}"/>
              </c:ext>
            </c:extLst>
          </c:dPt>
          <c:dPt>
            <c:idx val="5"/>
            <c:bubble3D val="0"/>
            <c:spPr>
              <a:solidFill>
                <a:srgbClr val="F87171"/>
              </a:solidFill>
              <a:ln w="12600">
                <a:solidFill>
                  <a:srgbClr val="161B22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AC57-478C-AD79-3A0E8BF70CEF}"/>
              </c:ext>
            </c:extLst>
          </c:dPt>
          <c:dPt>
            <c:idx val="6"/>
            <c:bubble3D val="0"/>
            <c:spPr>
              <a:solidFill>
                <a:srgbClr val="F472B6"/>
              </a:solidFill>
              <a:ln w="12600">
                <a:solidFill>
                  <a:srgbClr val="161B22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AC57-478C-AD79-3A0E8BF70CE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C57-478C-AD79-3A0E8BF70CE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C57-478C-AD79-3A0E8BF70CE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C57-478C-AD79-3A0E8BF70CE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C57-478C-AD79-3A0E8BF70CE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AC57-478C-AD79-3A0E8BF70CEF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AC57-478C-AD79-3A0E8BF70CEF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AC57-478C-AD79-3A0E8BF70C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_DATA_VIZ!$E$41:$E$47</c:f>
              <c:strCache>
                <c:ptCount val="7"/>
                <c:pt idx="0">
                  <c:v>Energía</c:v>
                </c:pt>
                <c:pt idx="1">
                  <c:v>Mantenimiento</c:v>
                </c:pt>
                <c:pt idx="2">
                  <c:v>Químicos+Agua</c:v>
                </c:pt>
                <c:pt idx="3">
                  <c:v>Análisis</c:v>
                </c:pt>
                <c:pt idx="4">
                  <c:v>Personal</c:v>
                </c:pt>
                <c:pt idx="5">
                  <c:v>Seguros+Cert.</c:v>
                </c:pt>
                <c:pt idx="6">
                  <c:v>Ambiental</c:v>
                </c:pt>
              </c:strCache>
            </c:strRef>
          </c:cat>
          <c:val>
            <c:numRef>
              <c:f>_DATA_VIZ!$F$41:$F$47</c:f>
              <c:numCache>
                <c:formatCode>General</c:formatCode>
                <c:ptCount val="7"/>
                <c:pt idx="0" formatCode="\$#,##0;\-">
                  <c:v>64759.81395348857</c:v>
                </c:pt>
                <c:pt idx="1">
                  <c:v>14647.959183673469</c:v>
                </c:pt>
                <c:pt idx="2">
                  <c:v>2161.8367346938771</c:v>
                </c:pt>
                <c:pt idx="3" formatCode="\$#,##0;\-">
                  <c:v>1818.3673469387754</c:v>
                </c:pt>
                <c:pt idx="4">
                  <c:v>4040.8163265306121</c:v>
                </c:pt>
                <c:pt idx="5">
                  <c:v>4950</c:v>
                </c:pt>
                <c:pt idx="6">
                  <c:v>3362.1014204081634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C57-478C-AD79-3A0E8BF70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8B949E"/>
              </a:solidFill>
              <a:latin typeface="Segoe U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161B22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E6EDF3"/>
                </a:solidFill>
                <a:latin typeface="Segoe UI"/>
              </a:defRPr>
            </a:pPr>
            <a:r>
              <a:rPr lang="es-CO" sz="1300" b="1" strike="noStrike" spc="-1">
                <a:solidFill>
                  <a:srgbClr val="E6EDF3"/>
                </a:solidFill>
                <a:latin typeface="Segoe UI"/>
              </a:rPr>
              <a:t>Perfil de costos (normalizado a caldera = 1.0)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_DATA_VIZ!$I$40</c:f>
              <c:strCache>
                <c:ptCount val="1"/>
                <c:pt idx="0">
                  <c:v>Caldera</c:v>
                </c:pt>
              </c:strCache>
            </c:strRef>
          </c:tx>
          <c:spPr>
            <a:solidFill>
              <a:srgbClr val="F87171"/>
            </a:solidFill>
            <a:ln w="21960">
              <a:solidFill>
                <a:srgbClr val="F87171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_DATA_VIZ!$H$41:$H$46</c:f>
              <c:strCache>
                <c:ptCount val="6"/>
                <c:pt idx="0">
                  <c:v>Energía</c:v>
                </c:pt>
                <c:pt idx="1">
                  <c:v>Mantenimiento</c:v>
                </c:pt>
                <c:pt idx="2">
                  <c:v>Servicios</c:v>
                </c:pt>
                <c:pt idx="3">
                  <c:v>Personal</c:v>
                </c:pt>
                <c:pt idx="4">
                  <c:v>Seguros/Cert</c:v>
                </c:pt>
                <c:pt idx="5">
                  <c:v>Ambiental</c:v>
                </c:pt>
              </c:strCache>
            </c:strRef>
          </c:cat>
          <c:val>
            <c:numRef>
              <c:f>_DATA_VIZ!$I$41:$I$46</c:f>
              <c:numCache>
                <c:formatCode>#,##0.00</c:formatCode>
                <c:ptCount val="6"/>
                <c:pt idx="0">
                  <c:v>0.13531304539637001</c:v>
                </c:pt>
                <c:pt idx="1">
                  <c:v>1.34046307787775E-2</c:v>
                </c:pt>
                <c:pt idx="2">
                  <c:v>3.6985610423777002E-2</c:v>
                </c:pt>
                <c:pt idx="3">
                  <c:v>5.9342489043592898E-2</c:v>
                </c:pt>
                <c:pt idx="4" formatCode="General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1-4DD3-B78B-3FF9B4482094}"/>
            </c:ext>
          </c:extLst>
        </c:ser>
        <c:ser>
          <c:idx val="1"/>
          <c:order val="1"/>
          <c:tx>
            <c:strRef>
              <c:f>_DATA_VIZ!$J$40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rgbClr val="10B981"/>
            </a:solidFill>
            <a:ln w="21960">
              <a:solidFill>
                <a:srgbClr val="10B981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_DATA_VIZ!$H$41:$H$46</c:f>
              <c:strCache>
                <c:ptCount val="6"/>
                <c:pt idx="0">
                  <c:v>Energía</c:v>
                </c:pt>
                <c:pt idx="1">
                  <c:v>Mantenimiento</c:v>
                </c:pt>
                <c:pt idx="2">
                  <c:v>Servicios</c:v>
                </c:pt>
                <c:pt idx="3">
                  <c:v>Personal</c:v>
                </c:pt>
                <c:pt idx="4">
                  <c:v>Seguros/Cert</c:v>
                </c:pt>
                <c:pt idx="5">
                  <c:v>Ambiental</c:v>
                </c:pt>
              </c:strCache>
            </c:strRef>
          </c:cat>
          <c:val>
            <c:numRef>
              <c:f>_DATA_VIZ!$J$41:$J$46</c:f>
              <c:numCache>
                <c:formatCode>#,##0.00</c:formatCode>
                <c:ptCount val="6"/>
                <c:pt idx="0">
                  <c:v>1.8925104554504101E-2</c:v>
                </c:pt>
                <c:pt idx="1">
                  <c:v>0</c:v>
                </c:pt>
                <c:pt idx="2">
                  <c:v>2.3536297542403599E-2</c:v>
                </c:pt>
                <c:pt idx="3">
                  <c:v>1.6137015882265501E-2</c:v>
                </c:pt>
                <c:pt idx="4" formatCode="General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11-4DD3-B78B-3FF9B4482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9965"/>
        <c:axId val="45028361"/>
      </c:radarChart>
      <c:catAx>
        <c:axId val="17039965"/>
        <c:scaling>
          <c:orientation val="maxMin"/>
        </c:scaling>
        <c:delete val="0"/>
        <c:axPos val="b"/>
        <c:majorGridlines>
          <c:spPr>
            <a:ln w="3240">
              <a:solidFill>
                <a:srgbClr val="262C36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8B949E"/>
                </a:solidFill>
                <a:latin typeface="Segoe UI"/>
              </a:defRPr>
            </a:pPr>
            <a:endParaRPr lang="es-CO"/>
          </a:p>
        </c:txPr>
        <c:crossAx val="45028361"/>
        <c:crosses val="autoZero"/>
        <c:auto val="1"/>
        <c:lblAlgn val="ctr"/>
        <c:lblOffset val="100"/>
        <c:noMultiLvlLbl val="0"/>
      </c:catAx>
      <c:valAx>
        <c:axId val="45028361"/>
        <c:scaling>
          <c:orientation val="minMax"/>
        </c:scaling>
        <c:delete val="0"/>
        <c:axPos val="l"/>
        <c:majorGridlines>
          <c:spPr>
            <a:ln w="3240">
              <a:solidFill>
                <a:srgbClr val="262C36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6480">
            <a:solidFill>
              <a:srgbClr val="262C36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8B949E"/>
                </a:solidFill>
                <a:latin typeface="Segoe UI"/>
              </a:defRPr>
            </a:pPr>
            <a:endParaRPr lang="es-CO"/>
          </a:p>
        </c:txPr>
        <c:crossAx val="1703996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8B949E"/>
              </a:solidFill>
              <a:latin typeface="Segoe U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161B22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4</xdr:col>
      <xdr:colOff>471600</xdr:colOff>
      <xdr:row>25</xdr:row>
      <xdr:rowOff>84960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12</xdr:row>
      <xdr:rowOff>0</xdr:rowOff>
    </xdr:from>
    <xdr:to>
      <xdr:col>10</xdr:col>
      <xdr:colOff>471600</xdr:colOff>
      <xdr:row>25</xdr:row>
      <xdr:rowOff>84960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4</xdr:col>
      <xdr:colOff>471600</xdr:colOff>
      <xdr:row>38</xdr:row>
      <xdr:rowOff>178920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4</xdr:col>
      <xdr:colOff>471600</xdr:colOff>
      <xdr:row>26</xdr:row>
      <xdr:rowOff>36360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12</xdr:row>
      <xdr:rowOff>0</xdr:rowOff>
    </xdr:from>
    <xdr:to>
      <xdr:col>10</xdr:col>
      <xdr:colOff>471600</xdr:colOff>
      <xdr:row>26</xdr:row>
      <xdr:rowOff>36360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29</xdr:row>
      <xdr:rowOff>0</xdr:rowOff>
    </xdr:from>
    <xdr:to>
      <xdr:col>10</xdr:col>
      <xdr:colOff>471600</xdr:colOff>
      <xdr:row>44</xdr:row>
      <xdr:rowOff>137520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4</xdr:col>
      <xdr:colOff>471600</xdr:colOff>
      <xdr:row>26</xdr:row>
      <xdr:rowOff>36360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12</xdr:row>
      <xdr:rowOff>0</xdr:rowOff>
    </xdr:from>
    <xdr:to>
      <xdr:col>10</xdr:col>
      <xdr:colOff>471600</xdr:colOff>
      <xdr:row>26</xdr:row>
      <xdr:rowOff>36360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29</xdr:row>
      <xdr:rowOff>0</xdr:rowOff>
    </xdr:from>
    <xdr:to>
      <xdr:col>10</xdr:col>
      <xdr:colOff>471600</xdr:colOff>
      <xdr:row>44</xdr:row>
      <xdr:rowOff>61200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6EDF3"/>
    <pageSetUpPr fitToPage="1"/>
  </sheetPr>
  <dimension ref="A1:M50"/>
  <sheetViews>
    <sheetView showGridLines="0" topLeftCell="A29" zoomScaleNormal="100" workbookViewId="0">
      <selection activeCell="Q8" sqref="Q8"/>
    </sheetView>
  </sheetViews>
  <sheetFormatPr baseColWidth="10" defaultColWidth="8.6640625" defaultRowHeight="14.25" x14ac:dyDescent="0.45"/>
  <cols>
    <col min="1" max="12" width="13" customWidth="1"/>
  </cols>
  <sheetData>
    <row r="1" spans="1:13" ht="3.75" customHeight="1" x14ac:dyDescent="0.4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3" ht="18" customHeight="1" x14ac:dyDescent="0.4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6"/>
    </row>
    <row r="3" spans="1:13" ht="6" customHeight="1" x14ac:dyDescent="0.4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6"/>
    </row>
    <row r="4" spans="1:13" ht="15" customHeight="1" x14ac:dyDescent="0.4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ht="13.5" customHeight="1" x14ac:dyDescent="0.4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6"/>
    </row>
    <row r="6" spans="1:13" ht="24" customHeight="1" x14ac:dyDescent="0.45">
      <c r="A6" s="17"/>
      <c r="B6" s="14" t="s">
        <v>0</v>
      </c>
      <c r="C6" s="14"/>
      <c r="D6" s="14"/>
      <c r="E6" s="14"/>
      <c r="F6" s="14"/>
      <c r="G6" s="14"/>
      <c r="H6" s="14"/>
      <c r="I6" s="14"/>
      <c r="J6" s="14"/>
      <c r="K6" s="14"/>
      <c r="L6" s="17"/>
      <c r="M6" s="16"/>
    </row>
    <row r="7" spans="1:13" ht="49.5" customHeight="1" x14ac:dyDescent="0.45">
      <c r="A7" s="17"/>
      <c r="B7" s="13" t="s">
        <v>1</v>
      </c>
      <c r="C7" s="13"/>
      <c r="D7" s="13"/>
      <c r="E7" s="13"/>
      <c r="F7" s="13"/>
      <c r="G7" s="13"/>
      <c r="H7" s="13"/>
      <c r="I7" s="13"/>
      <c r="J7" s="13"/>
      <c r="K7" s="13"/>
      <c r="L7" s="17"/>
      <c r="M7" s="16"/>
    </row>
    <row r="8" spans="1:13" ht="49.5" customHeight="1" x14ac:dyDescent="0.45">
      <c r="A8" s="17"/>
      <c r="B8" s="12" t="s">
        <v>349</v>
      </c>
      <c r="C8" s="12"/>
      <c r="D8" s="12"/>
      <c r="E8" s="12"/>
      <c r="F8" s="12"/>
      <c r="G8" s="12"/>
      <c r="H8" s="12"/>
      <c r="I8" s="12"/>
      <c r="J8" s="12"/>
      <c r="K8" s="12"/>
      <c r="L8" s="17"/>
      <c r="M8" s="16"/>
    </row>
    <row r="9" spans="1:13" ht="30" customHeight="1" x14ac:dyDescent="0.45">
      <c r="A9" s="17"/>
      <c r="B9" s="11" t="s">
        <v>2</v>
      </c>
      <c r="C9" s="11"/>
      <c r="D9" s="11"/>
      <c r="E9" s="11"/>
      <c r="F9" s="11"/>
      <c r="G9" s="11"/>
      <c r="H9" s="11"/>
      <c r="I9" s="11"/>
      <c r="J9" s="11"/>
      <c r="K9" s="11"/>
      <c r="L9" s="17"/>
      <c r="M9" s="16"/>
    </row>
    <row r="10" spans="1:13" ht="30" customHeight="1" x14ac:dyDescent="0.45">
      <c r="A10" s="17"/>
      <c r="B10" s="10" t="s">
        <v>3</v>
      </c>
      <c r="C10" s="10"/>
      <c r="D10" s="10"/>
      <c r="E10" s="10"/>
      <c r="F10" s="10"/>
      <c r="G10" s="10"/>
      <c r="H10" s="10"/>
      <c r="I10" s="10"/>
      <c r="J10" s="10"/>
      <c r="K10" s="10"/>
      <c r="L10" s="17"/>
      <c r="M10" s="16"/>
    </row>
    <row r="11" spans="1:13" ht="1.5" customHeight="1" x14ac:dyDescent="0.4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6"/>
    </row>
    <row r="12" spans="1:13" ht="13.5" customHeight="1" x14ac:dyDescent="0.4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6"/>
    </row>
    <row r="13" spans="1:13" ht="13.5" customHeight="1" x14ac:dyDescent="0.4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13" ht="18" customHeight="1" x14ac:dyDescent="0.45">
      <c r="A14" s="16"/>
      <c r="B14" s="15"/>
      <c r="C14" s="9" t="s">
        <v>4</v>
      </c>
      <c r="D14" s="9"/>
      <c r="E14" s="9"/>
      <c r="F14" s="9"/>
      <c r="G14" s="15"/>
      <c r="H14" s="9" t="s">
        <v>5</v>
      </c>
      <c r="I14" s="9"/>
      <c r="J14" s="9"/>
      <c r="K14" s="9"/>
      <c r="L14" s="16"/>
      <c r="M14" s="16"/>
    </row>
    <row r="15" spans="1:13" ht="24" customHeight="1" x14ac:dyDescent="0.45">
      <c r="A15" s="16"/>
      <c r="B15" s="15"/>
      <c r="C15" s="8" t="s">
        <v>6</v>
      </c>
      <c r="D15" s="8"/>
      <c r="E15" s="8"/>
      <c r="F15" s="8"/>
      <c r="G15" s="15"/>
      <c r="H15" s="8" t="s">
        <v>7</v>
      </c>
      <c r="I15" s="8"/>
      <c r="J15" s="8"/>
      <c r="K15" s="8"/>
      <c r="L15" s="16"/>
      <c r="M15" s="16"/>
    </row>
    <row r="16" spans="1:13" ht="7.5" customHeight="1" x14ac:dyDescent="0.45">
      <c r="A16" s="16"/>
      <c r="B16" s="15"/>
      <c r="C16" s="17"/>
      <c r="D16" s="17"/>
      <c r="E16" s="17"/>
      <c r="F16" s="17"/>
      <c r="G16" s="15"/>
      <c r="H16" s="17"/>
      <c r="I16" s="17"/>
      <c r="J16" s="17"/>
      <c r="K16" s="17"/>
      <c r="L16" s="16"/>
      <c r="M16" s="16"/>
    </row>
    <row r="17" spans="1:13" ht="18" customHeight="1" x14ac:dyDescent="0.45">
      <c r="A17" s="16"/>
      <c r="B17" s="15"/>
      <c r="C17" s="9" t="s">
        <v>8</v>
      </c>
      <c r="D17" s="9"/>
      <c r="E17" s="9"/>
      <c r="F17" s="9"/>
      <c r="G17" s="15"/>
      <c r="H17" s="9" t="s">
        <v>9</v>
      </c>
      <c r="I17" s="9"/>
      <c r="J17" s="9"/>
      <c r="K17" s="9"/>
      <c r="L17" s="16"/>
      <c r="M17" s="16"/>
    </row>
    <row r="18" spans="1:13" ht="24" customHeight="1" x14ac:dyDescent="0.45">
      <c r="A18" s="16"/>
      <c r="B18" s="15"/>
      <c r="C18" s="8" t="s">
        <v>10</v>
      </c>
      <c r="D18" s="8"/>
      <c r="E18" s="8"/>
      <c r="F18" s="8"/>
      <c r="G18" s="15"/>
      <c r="H18" s="8" t="s">
        <v>11</v>
      </c>
      <c r="I18" s="8"/>
      <c r="J18" s="8"/>
      <c r="K18" s="8"/>
      <c r="L18" s="16"/>
      <c r="M18" s="16"/>
    </row>
    <row r="19" spans="1:13" ht="7.5" customHeight="1" x14ac:dyDescent="0.45">
      <c r="A19" s="16"/>
      <c r="B19" s="15"/>
      <c r="C19" s="17"/>
      <c r="D19" s="17"/>
      <c r="E19" s="17"/>
      <c r="F19" s="17"/>
      <c r="G19" s="15"/>
      <c r="H19" s="17"/>
      <c r="I19" s="17"/>
      <c r="J19" s="17"/>
      <c r="K19" s="17"/>
      <c r="L19" s="16"/>
      <c r="M19" s="16"/>
    </row>
    <row r="20" spans="1:13" ht="18" customHeight="1" x14ac:dyDescent="0.45">
      <c r="A20" s="16"/>
      <c r="B20" s="15"/>
      <c r="C20" s="9" t="s">
        <v>12</v>
      </c>
      <c r="D20" s="9"/>
      <c r="E20" s="9"/>
      <c r="F20" s="9"/>
      <c r="G20" s="15"/>
      <c r="H20" s="9" t="s">
        <v>13</v>
      </c>
      <c r="I20" s="9"/>
      <c r="J20" s="9"/>
      <c r="K20" s="9"/>
      <c r="L20" s="16"/>
      <c r="M20" s="16"/>
    </row>
    <row r="21" spans="1:13" ht="24" customHeight="1" x14ac:dyDescent="0.45">
      <c r="A21" s="16"/>
      <c r="B21" s="15"/>
      <c r="C21" s="8" t="s">
        <v>14</v>
      </c>
      <c r="D21" s="8"/>
      <c r="E21" s="8"/>
      <c r="F21" s="8"/>
      <c r="G21" s="15"/>
      <c r="H21" s="8" t="s">
        <v>15</v>
      </c>
      <c r="I21" s="8"/>
      <c r="J21" s="8"/>
      <c r="K21" s="8"/>
      <c r="L21" s="16"/>
      <c r="M21" s="16"/>
    </row>
    <row r="22" spans="1:13" ht="7.5" customHeight="1" x14ac:dyDescent="0.45">
      <c r="A22" s="16"/>
      <c r="B22" s="15"/>
      <c r="C22" s="17"/>
      <c r="D22" s="17"/>
      <c r="E22" s="17"/>
      <c r="F22" s="17"/>
      <c r="G22" s="15"/>
      <c r="H22" s="17"/>
      <c r="I22" s="17"/>
      <c r="J22" s="17"/>
      <c r="K22" s="17"/>
      <c r="L22" s="16"/>
      <c r="M22" s="16"/>
    </row>
    <row r="23" spans="1:13" ht="18" customHeight="1" x14ac:dyDescent="0.45">
      <c r="A23" s="16"/>
      <c r="B23" s="15"/>
      <c r="C23" s="9" t="s">
        <v>16</v>
      </c>
      <c r="D23" s="9"/>
      <c r="E23" s="9"/>
      <c r="F23" s="9"/>
      <c r="G23" s="15"/>
      <c r="H23" s="9" t="s">
        <v>17</v>
      </c>
      <c r="I23" s="9"/>
      <c r="J23" s="9"/>
      <c r="K23" s="9"/>
      <c r="L23" s="16"/>
      <c r="M23" s="16"/>
    </row>
    <row r="24" spans="1:13" ht="24" customHeight="1" x14ac:dyDescent="0.45">
      <c r="A24" s="16"/>
      <c r="B24" s="15"/>
      <c r="C24" s="8" t="s">
        <v>18</v>
      </c>
      <c r="D24" s="8"/>
      <c r="E24" s="8"/>
      <c r="F24" s="8"/>
      <c r="G24" s="15"/>
      <c r="H24" s="8" t="s">
        <v>19</v>
      </c>
      <c r="I24" s="8"/>
      <c r="J24" s="8"/>
      <c r="K24" s="8"/>
      <c r="L24" s="16"/>
      <c r="M24" s="16"/>
    </row>
    <row r="25" spans="1:13" ht="7.5" customHeight="1" x14ac:dyDescent="0.45">
      <c r="A25" s="16"/>
      <c r="B25" s="15"/>
      <c r="C25" s="17"/>
      <c r="D25" s="17"/>
      <c r="E25" s="17"/>
      <c r="F25" s="17"/>
      <c r="G25" s="15"/>
      <c r="H25" s="17"/>
      <c r="I25" s="17"/>
      <c r="J25" s="17"/>
      <c r="K25" s="17"/>
      <c r="L25" s="16"/>
      <c r="M25" s="16"/>
    </row>
    <row r="26" spans="1:13" ht="15" customHeight="1" x14ac:dyDescent="0.4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3" ht="21.75" customHeight="1" x14ac:dyDescent="0.45">
      <c r="A27" s="16"/>
      <c r="B27" s="7" t="s">
        <v>20</v>
      </c>
      <c r="C27" s="7"/>
      <c r="D27" s="7"/>
      <c r="E27" s="7"/>
      <c r="F27" s="7"/>
      <c r="G27" s="7"/>
      <c r="H27" s="7"/>
      <c r="I27" s="7"/>
      <c r="J27" s="7"/>
      <c r="K27" s="7"/>
      <c r="L27" s="16"/>
      <c r="M27" s="16"/>
    </row>
    <row r="28" spans="1:13" ht="3.75" customHeight="1" x14ac:dyDescent="0.45">
      <c r="A28" s="18"/>
      <c r="B28" s="18"/>
      <c r="C28" s="18"/>
      <c r="D28" s="15"/>
      <c r="E28" s="15"/>
      <c r="F28" s="15"/>
      <c r="G28" s="19"/>
      <c r="H28" s="19"/>
      <c r="I28" s="19"/>
      <c r="J28" s="20"/>
      <c r="K28" s="20"/>
      <c r="L28" s="20"/>
      <c r="M28" s="16"/>
    </row>
    <row r="29" spans="1:13" ht="21.75" customHeight="1" x14ac:dyDescent="0.45">
      <c r="A29" s="6" t="s">
        <v>21</v>
      </c>
      <c r="B29" s="6"/>
      <c r="C29" s="6"/>
      <c r="D29" s="6" t="s">
        <v>22</v>
      </c>
      <c r="E29" s="6"/>
      <c r="F29" s="6"/>
      <c r="G29" s="6" t="s">
        <v>23</v>
      </c>
      <c r="H29" s="6"/>
      <c r="I29" s="6"/>
      <c r="J29" s="6" t="s">
        <v>24</v>
      </c>
      <c r="K29" s="6"/>
      <c r="L29" s="6"/>
      <c r="M29" s="16"/>
    </row>
    <row r="30" spans="1:13" ht="37.5" customHeight="1" x14ac:dyDescent="0.45">
      <c r="A30" s="5">
        <f>INDICADORES!B4</f>
        <v>2004916.2285840025</v>
      </c>
      <c r="B30" s="5"/>
      <c r="C30" s="5"/>
      <c r="D30" s="4">
        <f>INDICADORES!B5</f>
        <v>0.58980460137197621</v>
      </c>
      <c r="E30" s="4"/>
      <c r="F30" s="4"/>
      <c r="G30" s="3">
        <f>INDICADORES!B6</f>
        <v>2.0259528050251987</v>
      </c>
      <c r="H30" s="3"/>
      <c r="I30" s="3"/>
      <c r="J30" s="5">
        <f>INDICADORES!B12</f>
        <v>384561</v>
      </c>
      <c r="K30" s="5"/>
      <c r="L30" s="5"/>
      <c r="M30" s="16"/>
    </row>
    <row r="31" spans="1:13" ht="21.75" customHeight="1" x14ac:dyDescent="0.45">
      <c r="A31" s="2" t="s">
        <v>25</v>
      </c>
      <c r="B31" s="2"/>
      <c r="C31" s="2"/>
      <c r="D31" s="2" t="s">
        <v>26</v>
      </c>
      <c r="E31" s="2"/>
      <c r="F31" s="2"/>
      <c r="G31" s="2" t="s">
        <v>27</v>
      </c>
      <c r="H31" s="2"/>
      <c r="I31" s="2"/>
      <c r="J31" s="2" t="s">
        <v>28</v>
      </c>
      <c r="K31" s="2"/>
      <c r="L31" s="2"/>
      <c r="M31" s="16"/>
    </row>
    <row r="32" spans="1:13" ht="15" customHeight="1" x14ac:dyDescent="0.4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spans="1:13" ht="15" customHeight="1" x14ac:dyDescent="0.4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spans="1:13" ht="21.75" customHeight="1" x14ac:dyDescent="0.45">
      <c r="A34" s="16"/>
      <c r="B34" s="7" t="s">
        <v>29</v>
      </c>
      <c r="C34" s="7"/>
      <c r="D34" s="7"/>
      <c r="E34" s="7"/>
      <c r="F34" s="7"/>
      <c r="G34" s="7"/>
      <c r="H34" s="7"/>
      <c r="I34" s="7"/>
      <c r="J34" s="7"/>
      <c r="K34" s="7"/>
      <c r="L34" s="16"/>
      <c r="M34" s="16"/>
    </row>
    <row r="35" spans="1:13" ht="19.5" customHeight="1" x14ac:dyDescent="0.45">
      <c r="A35" s="16"/>
      <c r="B35" s="21" t="s">
        <v>30</v>
      </c>
      <c r="C35" s="1" t="s">
        <v>31</v>
      </c>
      <c r="D35" s="1"/>
      <c r="E35" s="1"/>
      <c r="F35" s="1"/>
      <c r="G35" s="1"/>
      <c r="H35" s="1"/>
      <c r="I35" s="1"/>
      <c r="J35" s="1"/>
      <c r="K35" s="1"/>
      <c r="L35" s="16"/>
      <c r="M35" s="16"/>
    </row>
    <row r="36" spans="1:13" ht="19.5" customHeight="1" x14ac:dyDescent="0.45">
      <c r="A36" s="16"/>
      <c r="B36" s="21" t="s">
        <v>32</v>
      </c>
      <c r="C36" s="1" t="s">
        <v>33</v>
      </c>
      <c r="D36" s="1"/>
      <c r="E36" s="1"/>
      <c r="F36" s="1"/>
      <c r="G36" s="1"/>
      <c r="H36" s="1"/>
      <c r="I36" s="1"/>
      <c r="J36" s="1"/>
      <c r="K36" s="1"/>
      <c r="L36" s="16"/>
      <c r="M36" s="16"/>
    </row>
    <row r="37" spans="1:13" ht="19.5" customHeight="1" x14ac:dyDescent="0.45">
      <c r="A37" s="16"/>
      <c r="B37" s="21" t="s">
        <v>34</v>
      </c>
      <c r="C37" s="1" t="s">
        <v>35</v>
      </c>
      <c r="D37" s="1"/>
      <c r="E37" s="1"/>
      <c r="F37" s="1"/>
      <c r="G37" s="1"/>
      <c r="H37" s="1"/>
      <c r="I37" s="1"/>
      <c r="J37" s="1"/>
      <c r="K37" s="1"/>
      <c r="L37" s="16"/>
      <c r="M37" s="16"/>
    </row>
    <row r="38" spans="1:13" ht="19.5" customHeight="1" x14ac:dyDescent="0.45">
      <c r="A38" s="16"/>
      <c r="B38" s="21" t="s">
        <v>36</v>
      </c>
      <c r="C38" s="1" t="s">
        <v>37</v>
      </c>
      <c r="D38" s="1"/>
      <c r="E38" s="1"/>
      <c r="F38" s="1"/>
      <c r="G38" s="1"/>
      <c r="H38" s="1"/>
      <c r="I38" s="1"/>
      <c r="J38" s="1"/>
      <c r="K38" s="1"/>
      <c r="L38" s="16"/>
      <c r="M38" s="16"/>
    </row>
    <row r="39" spans="1:13" ht="19.5" customHeight="1" x14ac:dyDescent="0.45">
      <c r="A39" s="16"/>
      <c r="B39" s="21" t="s">
        <v>38</v>
      </c>
      <c r="C39" s="1" t="s">
        <v>39</v>
      </c>
      <c r="D39" s="1"/>
      <c r="E39" s="1"/>
      <c r="F39" s="1"/>
      <c r="G39" s="1"/>
      <c r="H39" s="1"/>
      <c r="I39" s="1"/>
      <c r="J39" s="1"/>
      <c r="K39" s="1"/>
      <c r="L39" s="16"/>
      <c r="M39" s="16"/>
    </row>
    <row r="40" spans="1:13" ht="19.5" customHeight="1" x14ac:dyDescent="0.45">
      <c r="A40" s="16"/>
      <c r="B40" s="21" t="s">
        <v>40</v>
      </c>
      <c r="C40" s="1" t="s">
        <v>41</v>
      </c>
      <c r="D40" s="1"/>
      <c r="E40" s="1"/>
      <c r="F40" s="1"/>
      <c r="G40" s="1"/>
      <c r="H40" s="1"/>
      <c r="I40" s="1"/>
      <c r="J40" s="1"/>
      <c r="K40" s="1"/>
      <c r="L40" s="16"/>
      <c r="M40" s="16"/>
    </row>
    <row r="41" spans="1:13" ht="19.5" customHeight="1" x14ac:dyDescent="0.45">
      <c r="A41" s="16"/>
      <c r="B41" s="21" t="s">
        <v>42</v>
      </c>
      <c r="C41" s="1" t="s">
        <v>43</v>
      </c>
      <c r="D41" s="1"/>
      <c r="E41" s="1"/>
      <c r="F41" s="1"/>
      <c r="G41" s="1"/>
      <c r="H41" s="1"/>
      <c r="I41" s="1"/>
      <c r="J41" s="1"/>
      <c r="K41" s="1"/>
      <c r="L41" s="16"/>
      <c r="M41" s="16"/>
    </row>
    <row r="42" spans="1:13" ht="19.5" customHeight="1" x14ac:dyDescent="0.45">
      <c r="A42" s="16"/>
      <c r="B42" s="21" t="s">
        <v>44</v>
      </c>
      <c r="C42" s="1" t="s">
        <v>45</v>
      </c>
      <c r="D42" s="1"/>
      <c r="E42" s="1"/>
      <c r="F42" s="1"/>
      <c r="G42" s="1"/>
      <c r="H42" s="1"/>
      <c r="I42" s="1"/>
      <c r="J42" s="1"/>
      <c r="K42" s="1"/>
      <c r="L42" s="16"/>
      <c r="M42" s="16"/>
    </row>
    <row r="43" spans="1:13" ht="19.5" customHeight="1" x14ac:dyDescent="0.45">
      <c r="A43" s="16"/>
      <c r="B43" s="21" t="s">
        <v>46</v>
      </c>
      <c r="C43" s="1" t="s">
        <v>47</v>
      </c>
      <c r="D43" s="1"/>
      <c r="E43" s="1"/>
      <c r="F43" s="1"/>
      <c r="G43" s="1"/>
      <c r="H43" s="1"/>
      <c r="I43" s="1"/>
      <c r="J43" s="1"/>
      <c r="K43" s="1"/>
      <c r="L43" s="16"/>
      <c r="M43" s="16"/>
    </row>
    <row r="44" spans="1:13" ht="15" customHeight="1" x14ac:dyDescent="0.4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</row>
    <row r="45" spans="1:13" ht="1.5" customHeight="1" x14ac:dyDescent="0.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6"/>
    </row>
    <row r="46" spans="1:13" ht="21.75" customHeight="1" x14ac:dyDescent="0.45">
      <c r="A46" s="16"/>
      <c r="B46" s="131" t="s">
        <v>48</v>
      </c>
      <c r="C46" s="131"/>
      <c r="D46" s="131"/>
      <c r="E46" s="131"/>
      <c r="F46" s="131"/>
      <c r="G46" s="131"/>
      <c r="H46" s="131"/>
      <c r="I46" s="131"/>
      <c r="J46" s="131"/>
      <c r="K46" s="131"/>
      <c r="L46" s="16"/>
      <c r="M46" s="16"/>
    </row>
    <row r="47" spans="1:13" ht="15" customHeight="1" x14ac:dyDescent="0.4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</row>
    <row r="48" spans="1:13" ht="15" customHeight="1" x14ac:dyDescent="0.4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" customHeight="1" x14ac:dyDescent="0.4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</row>
    <row r="50" spans="1:13" ht="15" customHeight="1" x14ac:dyDescent="0.4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</row>
  </sheetData>
  <mergeCells count="45">
    <mergeCell ref="C40:K40"/>
    <mergeCell ref="C41:K41"/>
    <mergeCell ref="C42:K42"/>
    <mergeCell ref="C43:K43"/>
    <mergeCell ref="B46:K46"/>
    <mergeCell ref="C35:K35"/>
    <mergeCell ref="C36:K36"/>
    <mergeCell ref="C37:K37"/>
    <mergeCell ref="C38:K38"/>
    <mergeCell ref="C39:K39"/>
    <mergeCell ref="A31:C31"/>
    <mergeCell ref="D31:F31"/>
    <mergeCell ref="G31:I31"/>
    <mergeCell ref="J31:L31"/>
    <mergeCell ref="B34:K34"/>
    <mergeCell ref="A29:C29"/>
    <mergeCell ref="D29:F29"/>
    <mergeCell ref="G29:I29"/>
    <mergeCell ref="J29:L29"/>
    <mergeCell ref="A30:C30"/>
    <mergeCell ref="D30:F30"/>
    <mergeCell ref="G30:I30"/>
    <mergeCell ref="J30:L30"/>
    <mergeCell ref="C23:F23"/>
    <mergeCell ref="H23:K23"/>
    <mergeCell ref="C24:F24"/>
    <mergeCell ref="H24:K24"/>
    <mergeCell ref="B27:K27"/>
    <mergeCell ref="C18:F18"/>
    <mergeCell ref="H18:K18"/>
    <mergeCell ref="C20:F20"/>
    <mergeCell ref="H20:K20"/>
    <mergeCell ref="C21:F21"/>
    <mergeCell ref="H21:K21"/>
    <mergeCell ref="C14:F14"/>
    <mergeCell ref="H14:K14"/>
    <mergeCell ref="C15:F15"/>
    <mergeCell ref="H15:K15"/>
    <mergeCell ref="C17:F17"/>
    <mergeCell ref="H17:K17"/>
    <mergeCell ref="B6:K6"/>
    <mergeCell ref="B7:K7"/>
    <mergeCell ref="B8:K8"/>
    <mergeCell ref="B9:K9"/>
    <mergeCell ref="B10:K10"/>
  </mergeCells>
  <printOptions horizontalCentered="1"/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A3FF"/>
    <pageSetUpPr fitToPage="1"/>
  </sheetPr>
  <dimension ref="A1:M70"/>
  <sheetViews>
    <sheetView showGridLines="0" tabSelected="1" zoomScaleNormal="100" workbookViewId="0">
      <pane ySplit="4" topLeftCell="A5" activePane="bottomLeft" state="frozen"/>
      <selection pane="bottomLeft" activeCell="O10" sqref="O10"/>
    </sheetView>
  </sheetViews>
  <sheetFormatPr baseColWidth="10" defaultColWidth="8.6640625" defaultRowHeight="14.25" x14ac:dyDescent="0.45"/>
  <cols>
    <col min="1" max="12" width="13" customWidth="1"/>
  </cols>
  <sheetData>
    <row r="1" spans="1:13" ht="7.5" customHeight="1" x14ac:dyDescent="0.4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36" customHeight="1" x14ac:dyDescent="0.45">
      <c r="A2" s="132" t="s">
        <v>49</v>
      </c>
      <c r="B2" s="132"/>
      <c r="C2" s="132"/>
      <c r="D2" s="132"/>
      <c r="E2" s="132"/>
      <c r="F2" s="132"/>
      <c r="G2" s="132"/>
      <c r="H2" s="132"/>
      <c r="I2" s="132"/>
      <c r="J2" s="133" t="s">
        <v>350</v>
      </c>
      <c r="K2" s="133"/>
      <c r="L2" s="133"/>
      <c r="M2" s="16"/>
    </row>
    <row r="3" spans="1:13" ht="21.75" customHeight="1" x14ac:dyDescent="0.45">
      <c r="A3" s="134" t="s">
        <v>50</v>
      </c>
      <c r="B3" s="134"/>
      <c r="C3" s="134"/>
      <c r="D3" s="134"/>
      <c r="E3" s="134"/>
      <c r="F3" s="134"/>
      <c r="G3" s="134"/>
      <c r="H3" s="134"/>
      <c r="I3" s="134"/>
      <c r="J3" s="135" t="str">
        <f>CONCATENATE("Escenario: ",ScenarioSel)</f>
        <v>Escenario: Base</v>
      </c>
      <c r="K3" s="135"/>
      <c r="L3" s="135"/>
      <c r="M3" s="16"/>
    </row>
    <row r="4" spans="1:13" ht="1.5" customHeight="1" x14ac:dyDescent="0.4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</row>
    <row r="5" spans="1:13" ht="12" customHeight="1" x14ac:dyDescent="0.4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ht="3.75" customHeight="1" x14ac:dyDescent="0.45">
      <c r="A6" s="18"/>
      <c r="B6" s="18"/>
      <c r="C6" s="18"/>
      <c r="D6" s="15"/>
      <c r="E6" s="15"/>
      <c r="F6" s="15"/>
      <c r="G6" s="19"/>
      <c r="H6" s="19"/>
      <c r="I6" s="19"/>
      <c r="J6" s="20"/>
      <c r="K6" s="20"/>
      <c r="L6" s="20"/>
      <c r="M6" s="16"/>
    </row>
    <row r="7" spans="1:13" ht="21.75" customHeight="1" x14ac:dyDescent="0.45">
      <c r="A7" s="6" t="s">
        <v>51</v>
      </c>
      <c r="B7" s="6"/>
      <c r="C7" s="6"/>
      <c r="D7" s="6" t="s">
        <v>52</v>
      </c>
      <c r="E7" s="6"/>
      <c r="F7" s="6"/>
      <c r="G7" s="6" t="s">
        <v>53</v>
      </c>
      <c r="H7" s="6"/>
      <c r="I7" s="6"/>
      <c r="J7" s="6" t="s">
        <v>54</v>
      </c>
      <c r="K7" s="6"/>
      <c r="L7" s="6"/>
      <c r="M7" s="16"/>
    </row>
    <row r="8" spans="1:13" ht="43.5" customHeight="1" x14ac:dyDescent="0.45">
      <c r="A8" s="136">
        <f>INDICADORES!B4</f>
        <v>2004916.2285840025</v>
      </c>
      <c r="B8" s="136"/>
      <c r="C8" s="136"/>
      <c r="D8" s="137">
        <f>INDICADORES!B5</f>
        <v>0.58980460137197621</v>
      </c>
      <c r="E8" s="137"/>
      <c r="F8" s="137"/>
      <c r="G8" s="138">
        <f>INDICADORES!B6</f>
        <v>2.0259528050251987</v>
      </c>
      <c r="H8" s="138"/>
      <c r="I8" s="138"/>
      <c r="J8" s="139">
        <f>INDICADORES!B12</f>
        <v>384561</v>
      </c>
      <c r="K8" s="139"/>
      <c r="L8" s="139"/>
      <c r="M8" s="16"/>
    </row>
    <row r="9" spans="1:13" ht="21.75" customHeight="1" x14ac:dyDescent="0.45">
      <c r="A9" s="2" t="s">
        <v>55</v>
      </c>
      <c r="B9" s="2"/>
      <c r="C9" s="2"/>
      <c r="D9" s="2" t="str">
        <f>CONCATENATE("Objetivo 8 % · TIR/Objetivo: ",TEXT(INDICADORES!B8,"0.0"),"×")</f>
        <v>Objetivo 8 % · TIR/Objetivo: 07×</v>
      </c>
      <c r="E9" s="2"/>
      <c r="F9" s="2"/>
      <c r="G9" s="2" t="s">
        <v>56</v>
      </c>
      <c r="H9" s="2"/>
      <c r="I9" s="2"/>
      <c r="J9" s="2" t="s">
        <v>57</v>
      </c>
      <c r="K9" s="2"/>
      <c r="L9" s="2"/>
      <c r="M9" s="16"/>
    </row>
    <row r="10" spans="1:13" ht="9.75" customHeight="1" x14ac:dyDescent="0.4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 ht="24" customHeight="1" x14ac:dyDescent="0.45">
      <c r="A11" s="140" t="s">
        <v>58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6"/>
    </row>
    <row r="12" spans="1:13" ht="30" customHeight="1" x14ac:dyDescent="0.45">
      <c r="A12" s="141" t="s">
        <v>59</v>
      </c>
      <c r="B12" s="141"/>
      <c r="C12" s="141"/>
      <c r="D12" s="141"/>
      <c r="E12" s="141"/>
      <c r="F12" s="141"/>
      <c r="G12" s="141" t="s">
        <v>60</v>
      </c>
      <c r="H12" s="141"/>
      <c r="I12" s="141"/>
      <c r="J12" s="141"/>
      <c r="K12" s="141"/>
      <c r="L12" s="141"/>
      <c r="M12" s="16"/>
    </row>
    <row r="13" spans="1:13" ht="18" customHeight="1" x14ac:dyDescent="0.4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6"/>
    </row>
    <row r="14" spans="1:13" ht="18" customHeight="1" x14ac:dyDescent="0.4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6"/>
    </row>
    <row r="15" spans="1:13" ht="18" customHeight="1" x14ac:dyDescent="0.4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6"/>
    </row>
    <row r="16" spans="1:13" ht="18" customHeight="1" x14ac:dyDescent="0.4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6"/>
    </row>
    <row r="17" spans="1:13" ht="18" customHeight="1" x14ac:dyDescent="0.4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6"/>
    </row>
    <row r="18" spans="1:13" ht="18" customHeight="1" x14ac:dyDescent="0.4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6"/>
    </row>
    <row r="19" spans="1:13" ht="18" customHeight="1" x14ac:dyDescent="0.4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6"/>
    </row>
    <row r="20" spans="1:13" ht="18" customHeight="1" x14ac:dyDescent="0.4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6"/>
    </row>
    <row r="21" spans="1:13" ht="18" customHeight="1" x14ac:dyDescent="0.4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6"/>
    </row>
    <row r="22" spans="1:13" ht="18" customHeight="1" x14ac:dyDescent="0.4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6"/>
    </row>
    <row r="23" spans="1:13" ht="18" customHeight="1" x14ac:dyDescent="0.4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6"/>
    </row>
    <row r="24" spans="1:13" ht="18" customHeight="1" x14ac:dyDescent="0.4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6"/>
    </row>
    <row r="25" spans="1:13" ht="18" customHeight="1" x14ac:dyDescent="0.4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6"/>
    </row>
    <row r="26" spans="1:13" ht="7.5" customHeight="1" x14ac:dyDescent="0.4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3" ht="30" customHeight="1" x14ac:dyDescent="0.45">
      <c r="A27" s="141" t="s">
        <v>61</v>
      </c>
      <c r="B27" s="141"/>
      <c r="C27" s="141"/>
      <c r="D27" s="141"/>
      <c r="E27" s="141"/>
      <c r="F27" s="141"/>
      <c r="G27" s="141" t="s">
        <v>62</v>
      </c>
      <c r="H27" s="141"/>
      <c r="I27" s="141"/>
      <c r="J27" s="141"/>
      <c r="K27" s="141"/>
      <c r="L27" s="141"/>
      <c r="M27" s="16"/>
    </row>
    <row r="28" spans="1:13" ht="18" customHeight="1" x14ac:dyDescent="0.4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6"/>
    </row>
    <row r="29" spans="1:13" ht="27.75" customHeight="1" x14ac:dyDescent="0.45">
      <c r="A29" s="17"/>
      <c r="B29" s="17"/>
      <c r="C29" s="17"/>
      <c r="D29" s="17"/>
      <c r="E29" s="17"/>
      <c r="F29" s="17"/>
      <c r="G29" s="22" t="s">
        <v>63</v>
      </c>
      <c r="H29" s="142" t="s">
        <v>64</v>
      </c>
      <c r="I29" s="142"/>
      <c r="J29" s="22" t="s">
        <v>65</v>
      </c>
      <c r="K29" s="142" t="s">
        <v>23</v>
      </c>
      <c r="L29" s="142"/>
      <c r="M29" s="16"/>
    </row>
    <row r="30" spans="1:13" ht="27.75" customHeight="1" x14ac:dyDescent="0.45">
      <c r="A30" s="17"/>
      <c r="B30" s="17"/>
      <c r="C30" s="17"/>
      <c r="D30" s="17"/>
      <c r="E30" s="17"/>
      <c r="F30" s="17"/>
      <c r="G30" s="23" t="s">
        <v>66</v>
      </c>
      <c r="H30" s="143">
        <f>_AUX!O3</f>
        <v>1229217.3146309699</v>
      </c>
      <c r="I30" s="143"/>
      <c r="J30" s="24">
        <f>_AUX!P3</f>
        <v>5.0363500608804401E-2</v>
      </c>
      <c r="K30" s="144">
        <f>_AUX!Q3</f>
        <v>2.5</v>
      </c>
      <c r="L30" s="144"/>
      <c r="M30" s="16"/>
    </row>
    <row r="31" spans="1:13" ht="18" customHeight="1" x14ac:dyDescent="0.4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6"/>
    </row>
    <row r="32" spans="1:13" ht="27.75" customHeight="1" x14ac:dyDescent="0.45">
      <c r="A32" s="17"/>
      <c r="B32" s="17"/>
      <c r="C32" s="17"/>
      <c r="D32" s="17"/>
      <c r="E32" s="17"/>
      <c r="F32" s="17"/>
      <c r="G32" s="25" t="s">
        <v>67</v>
      </c>
      <c r="H32" s="143">
        <f>_AUX!O4</f>
        <v>2079646.8619661201</v>
      </c>
      <c r="I32" s="143"/>
      <c r="J32" s="24">
        <f>_AUX!P4</f>
        <v>5.4941393973791101E-2</v>
      </c>
      <c r="K32" s="144">
        <f>_AUX!Q4</f>
        <v>1.5969045717107999</v>
      </c>
      <c r="L32" s="144"/>
      <c r="M32" s="16"/>
    </row>
    <row r="33" spans="1:13" ht="18" customHeight="1" x14ac:dyDescent="0.4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6"/>
    </row>
    <row r="34" spans="1:13" ht="27.75" customHeight="1" x14ac:dyDescent="0.45">
      <c r="A34" s="17"/>
      <c r="B34" s="17"/>
      <c r="C34" s="17"/>
      <c r="D34" s="17"/>
      <c r="E34" s="17"/>
      <c r="F34" s="17"/>
      <c r="G34" s="26" t="s">
        <v>68</v>
      </c>
      <c r="H34" s="143">
        <f>_AUX!O5</f>
        <v>3163697.4451926202</v>
      </c>
      <c r="I34" s="143"/>
      <c r="J34" s="24">
        <f>_AUX!P5</f>
        <v>5.6528392607774598E-2</v>
      </c>
      <c r="K34" s="144">
        <f>_AUX!Q5</f>
        <v>1.2</v>
      </c>
      <c r="L34" s="144"/>
      <c r="M34" s="16"/>
    </row>
    <row r="35" spans="1:13" ht="18" customHeight="1" x14ac:dyDescent="0.4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6"/>
    </row>
    <row r="36" spans="1:13" ht="18" customHeight="1" x14ac:dyDescent="0.4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6"/>
    </row>
    <row r="37" spans="1:13" ht="21.75" customHeight="1" x14ac:dyDescent="0.45">
      <c r="A37" s="17"/>
      <c r="B37" s="17"/>
      <c r="C37" s="17"/>
      <c r="D37" s="17"/>
      <c r="E37" s="17"/>
      <c r="F37" s="17"/>
      <c r="G37" s="145" t="s">
        <v>69</v>
      </c>
      <c r="H37" s="145"/>
      <c r="I37" s="145"/>
      <c r="J37" s="145"/>
      <c r="K37" s="145"/>
      <c r="L37" s="145"/>
      <c r="M37" s="16"/>
    </row>
    <row r="38" spans="1:13" ht="18" customHeight="1" x14ac:dyDescent="0.4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6"/>
    </row>
    <row r="39" spans="1:13" ht="18" customHeight="1" x14ac:dyDescent="0.4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6"/>
    </row>
    <row r="40" spans="1:13" ht="18" customHeight="1" x14ac:dyDescent="0.4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6"/>
    </row>
    <row r="41" spans="1:13" ht="18" customHeight="1" x14ac:dyDescent="0.4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6"/>
    </row>
    <row r="42" spans="1:13" ht="6" customHeight="1" x14ac:dyDescent="0.4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 spans="1:13" ht="0.75" customHeight="1" x14ac:dyDescent="0.45">
      <c r="A43" s="146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6"/>
    </row>
    <row r="44" spans="1:13" ht="21.75" customHeight="1" x14ac:dyDescent="0.45">
      <c r="A44" s="147" t="s">
        <v>70</v>
      </c>
      <c r="B44" s="147"/>
      <c r="C44" s="147"/>
      <c r="D44" s="147"/>
      <c r="E44" s="147"/>
      <c r="F44" s="147"/>
      <c r="G44" s="148" t="s">
        <v>71</v>
      </c>
      <c r="H44" s="148"/>
      <c r="I44" s="148"/>
      <c r="J44" s="148"/>
      <c r="K44" s="148"/>
      <c r="L44" s="148"/>
      <c r="M44" s="16"/>
    </row>
    <row r="45" spans="1:13" ht="15" customHeight="1" x14ac:dyDescent="0.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</row>
    <row r="46" spans="1:13" ht="15" customHeight="1" x14ac:dyDescent="0.4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</row>
    <row r="47" spans="1:13" ht="15" customHeight="1" x14ac:dyDescent="0.4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</row>
    <row r="48" spans="1:13" ht="15" customHeight="1" x14ac:dyDescent="0.4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" customHeight="1" x14ac:dyDescent="0.4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</row>
    <row r="50" spans="1:13" ht="15" customHeight="1" x14ac:dyDescent="0.4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</row>
    <row r="51" spans="1:13" ht="15" customHeight="1" x14ac:dyDescent="0.4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2" spans="1:13" ht="15" customHeight="1" x14ac:dyDescent="0.4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 spans="1:13" ht="15" customHeight="1" x14ac:dyDescent="0.4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</row>
    <row r="54" spans="1:13" ht="15" customHeight="1" x14ac:dyDescent="0.4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</row>
    <row r="55" spans="1:13" ht="15" customHeight="1" x14ac:dyDescent="0.4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</row>
    <row r="56" spans="1:13" ht="15" customHeight="1" x14ac:dyDescent="0.4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</row>
    <row r="57" spans="1:13" ht="15" customHeight="1" x14ac:dyDescent="0.4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8" spans="1:13" ht="15" customHeight="1" x14ac:dyDescent="0.4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 spans="1:13" ht="15" customHeight="1" x14ac:dyDescent="0.4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</row>
    <row r="60" spans="1:13" ht="15" customHeight="1" x14ac:dyDescent="0.4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</row>
    <row r="61" spans="1:13" ht="15" customHeight="1" x14ac:dyDescent="0.4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</row>
    <row r="62" spans="1:13" ht="15" customHeight="1" x14ac:dyDescent="0.4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spans="1:13" ht="15" customHeight="1" x14ac:dyDescent="0.4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</row>
    <row r="64" spans="1:13" ht="15" customHeight="1" x14ac:dyDescent="0.4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</row>
    <row r="65" spans="1:13" ht="15" customHeight="1" x14ac:dyDescent="0.4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</row>
    <row r="66" spans="1:13" ht="15" customHeight="1" x14ac:dyDescent="0.4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</row>
    <row r="67" spans="1:13" ht="15" customHeight="1" x14ac:dyDescent="0.4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</row>
    <row r="68" spans="1:13" ht="15" customHeight="1" x14ac:dyDescent="0.4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spans="1:13" ht="15" customHeight="1" x14ac:dyDescent="0.4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</row>
    <row r="70" spans="1:13" ht="15" customHeight="1" x14ac:dyDescent="0.4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</row>
  </sheetData>
  <mergeCells count="33">
    <mergeCell ref="H34:I34"/>
    <mergeCell ref="K34:L34"/>
    <mergeCell ref="G37:L37"/>
    <mergeCell ref="A43:L43"/>
    <mergeCell ref="A44:F44"/>
    <mergeCell ref="G44:L44"/>
    <mergeCell ref="H29:I29"/>
    <mergeCell ref="K29:L29"/>
    <mergeCell ref="H30:I30"/>
    <mergeCell ref="K30:L30"/>
    <mergeCell ref="H32:I32"/>
    <mergeCell ref="K32:L32"/>
    <mergeCell ref="A11:L11"/>
    <mergeCell ref="A12:F12"/>
    <mergeCell ref="G12:L12"/>
    <mergeCell ref="A27:F27"/>
    <mergeCell ref="G27:L27"/>
    <mergeCell ref="A8:C8"/>
    <mergeCell ref="D8:F8"/>
    <mergeCell ref="G8:I8"/>
    <mergeCell ref="J8:L8"/>
    <mergeCell ref="A9:C9"/>
    <mergeCell ref="D9:F9"/>
    <mergeCell ref="G9:I9"/>
    <mergeCell ref="J9:L9"/>
    <mergeCell ref="A2:I2"/>
    <mergeCell ref="J2:L2"/>
    <mergeCell ref="A3:I3"/>
    <mergeCell ref="J3:L3"/>
    <mergeCell ref="A7:C7"/>
    <mergeCell ref="D7:F7"/>
    <mergeCell ref="G7:I7"/>
    <mergeCell ref="J7:L7"/>
  </mergeCells>
  <printOptions horizontalCentered="1"/>
  <pageMargins left="0.75" right="0.75" top="1" bottom="1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0B981"/>
    <pageSetUpPr fitToPage="1"/>
  </sheetPr>
  <dimension ref="A1:M80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25" x14ac:dyDescent="0.45"/>
  <cols>
    <col min="1" max="12" width="13" customWidth="1"/>
  </cols>
  <sheetData>
    <row r="1" spans="1:13" ht="7.5" customHeight="1" x14ac:dyDescent="0.4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36" customHeight="1" x14ac:dyDescent="0.45">
      <c r="A2" s="132" t="s">
        <v>72</v>
      </c>
      <c r="B2" s="132"/>
      <c r="C2" s="132"/>
      <c r="D2" s="132"/>
      <c r="E2" s="132"/>
      <c r="F2" s="132"/>
      <c r="G2" s="132"/>
      <c r="H2" s="132"/>
      <c r="I2" s="132"/>
      <c r="J2" s="149" t="s">
        <v>11</v>
      </c>
      <c r="K2" s="149"/>
      <c r="L2" s="149"/>
      <c r="M2" s="16"/>
    </row>
    <row r="3" spans="1:13" ht="21.75" customHeight="1" x14ac:dyDescent="0.45">
      <c r="A3" s="134" t="s">
        <v>73</v>
      </c>
      <c r="B3" s="134"/>
      <c r="C3" s="134"/>
      <c r="D3" s="134"/>
      <c r="E3" s="134"/>
      <c r="F3" s="134"/>
      <c r="G3" s="134"/>
      <c r="H3" s="134"/>
      <c r="I3" s="134"/>
      <c r="J3" s="135" t="str">
        <f>CONCATENATE("Horizonte: ",Horizonte," años · WACC: ",TEXT(WACC,"0%"))</f>
        <v>Horizonte: 15 años · WACC: 8%</v>
      </c>
      <c r="K3" s="135"/>
      <c r="L3" s="135"/>
      <c r="M3" s="16"/>
    </row>
    <row r="4" spans="1:13" ht="1.5" customHeight="1" x14ac:dyDescent="0.4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6"/>
    </row>
    <row r="5" spans="1:13" ht="12" customHeight="1" x14ac:dyDescent="0.4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ht="3.75" customHeight="1" x14ac:dyDescent="0.45">
      <c r="A6" s="18"/>
      <c r="B6" s="18"/>
      <c r="C6" s="18"/>
      <c r="D6" s="15"/>
      <c r="E6" s="15"/>
      <c r="F6" s="15"/>
      <c r="G6" s="19"/>
      <c r="H6" s="19"/>
      <c r="I6" s="19"/>
      <c r="J6" s="27"/>
      <c r="K6" s="27"/>
      <c r="L6" s="27"/>
      <c r="M6" s="16"/>
    </row>
    <row r="7" spans="1:13" ht="21.75" customHeight="1" x14ac:dyDescent="0.45">
      <c r="A7" s="6" t="s">
        <v>74</v>
      </c>
      <c r="B7" s="6"/>
      <c r="C7" s="6"/>
      <c r="D7" s="6" t="s">
        <v>75</v>
      </c>
      <c r="E7" s="6"/>
      <c r="F7" s="6"/>
      <c r="G7" s="6" t="s">
        <v>76</v>
      </c>
      <c r="H7" s="6"/>
      <c r="I7" s="6"/>
      <c r="J7" s="6" t="s">
        <v>77</v>
      </c>
      <c r="K7" s="6"/>
      <c r="L7" s="6"/>
      <c r="M7" s="16"/>
    </row>
    <row r="8" spans="1:13" ht="43.5" customHeight="1" x14ac:dyDescent="0.45">
      <c r="A8" s="139">
        <f>INDICADORES!B13</f>
        <v>208000.60505615087</v>
      </c>
      <c r="B8" s="139"/>
      <c r="C8" s="139"/>
      <c r="D8" s="137">
        <f>INDICADORES!B13/INDICADORES!B12</f>
        <v>0.54087805330272931</v>
      </c>
      <c r="E8" s="137"/>
      <c r="F8" s="137"/>
      <c r="G8" s="150">
        <f>INDICADORES!B12/INDICADORES!B16</f>
        <v>1538.2439999999999</v>
      </c>
      <c r="H8" s="150"/>
      <c r="I8" s="150"/>
      <c r="J8" s="151">
        <f>INDICADORES!B4/INDICADORES!B12</f>
        <v>5.2135193859595814</v>
      </c>
      <c r="K8" s="151"/>
      <c r="L8" s="151"/>
      <c r="M8" s="16"/>
    </row>
    <row r="9" spans="1:13" ht="21.75" customHeight="1" x14ac:dyDescent="0.45">
      <c r="A9" s="2" t="s">
        <v>78</v>
      </c>
      <c r="B9" s="2"/>
      <c r="C9" s="2"/>
      <c r="D9" s="2" t="s">
        <v>79</v>
      </c>
      <c r="E9" s="2"/>
      <c r="F9" s="2"/>
      <c r="G9" s="2" t="s">
        <v>80</v>
      </c>
      <c r="H9" s="2"/>
      <c r="I9" s="2"/>
      <c r="J9" s="2" t="s">
        <v>81</v>
      </c>
      <c r="K9" s="2"/>
      <c r="L9" s="2"/>
      <c r="M9" s="16"/>
    </row>
    <row r="10" spans="1:13" ht="9.75" customHeight="1" x14ac:dyDescent="0.4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 ht="24" customHeight="1" x14ac:dyDescent="0.45">
      <c r="A11" s="140" t="s">
        <v>82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6"/>
    </row>
    <row r="12" spans="1:13" ht="30" customHeight="1" x14ac:dyDescent="0.45">
      <c r="A12" s="141" t="s">
        <v>83</v>
      </c>
      <c r="B12" s="141"/>
      <c r="C12" s="141"/>
      <c r="D12" s="141"/>
      <c r="E12" s="141"/>
      <c r="F12" s="141"/>
      <c r="G12" s="141" t="s">
        <v>84</v>
      </c>
      <c r="H12" s="141"/>
      <c r="I12" s="141"/>
      <c r="J12" s="141"/>
      <c r="K12" s="141"/>
      <c r="L12" s="141"/>
      <c r="M12" s="16"/>
    </row>
    <row r="13" spans="1:13" ht="18" customHeight="1" x14ac:dyDescent="0.4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6"/>
    </row>
    <row r="14" spans="1:13" ht="18" customHeight="1" x14ac:dyDescent="0.4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6"/>
    </row>
    <row r="15" spans="1:13" ht="18" customHeight="1" x14ac:dyDescent="0.4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6"/>
    </row>
    <row r="16" spans="1:13" ht="18" customHeight="1" x14ac:dyDescent="0.4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6"/>
    </row>
    <row r="17" spans="1:13" ht="18" customHeight="1" x14ac:dyDescent="0.4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6"/>
    </row>
    <row r="18" spans="1:13" ht="18" customHeight="1" x14ac:dyDescent="0.4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6"/>
    </row>
    <row r="19" spans="1:13" ht="18" customHeight="1" x14ac:dyDescent="0.4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6"/>
    </row>
    <row r="20" spans="1:13" ht="18" customHeight="1" x14ac:dyDescent="0.4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6"/>
    </row>
    <row r="21" spans="1:13" ht="18" customHeight="1" x14ac:dyDescent="0.4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6"/>
    </row>
    <row r="22" spans="1:13" ht="18" customHeight="1" x14ac:dyDescent="0.4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6"/>
    </row>
    <row r="23" spans="1:13" ht="18" customHeight="1" x14ac:dyDescent="0.4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6"/>
    </row>
    <row r="24" spans="1:13" ht="18" customHeight="1" x14ac:dyDescent="0.4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6"/>
    </row>
    <row r="25" spans="1:13" ht="18" customHeight="1" x14ac:dyDescent="0.4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6"/>
    </row>
    <row r="26" spans="1:13" ht="18" customHeight="1" x14ac:dyDescent="0.4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6"/>
    </row>
    <row r="27" spans="1:13" ht="9.75" customHeight="1" x14ac:dyDescent="0.4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spans="1:13" ht="24" customHeight="1" x14ac:dyDescent="0.45">
      <c r="A28" s="140" t="s">
        <v>85</v>
      </c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6"/>
    </row>
    <row r="29" spans="1:13" ht="30" customHeight="1" x14ac:dyDescent="0.45">
      <c r="A29" s="141" t="s">
        <v>86</v>
      </c>
      <c r="B29" s="141"/>
      <c r="C29" s="141"/>
      <c r="D29" s="141"/>
      <c r="E29" s="141"/>
      <c r="F29" s="141"/>
      <c r="G29" s="141" t="s">
        <v>87</v>
      </c>
      <c r="H29" s="141"/>
      <c r="I29" s="141"/>
      <c r="J29" s="141"/>
      <c r="K29" s="141"/>
      <c r="L29" s="141"/>
      <c r="M29" s="16"/>
    </row>
    <row r="30" spans="1:13" ht="27.75" customHeight="1" x14ac:dyDescent="0.45">
      <c r="A30" s="22" t="s">
        <v>88</v>
      </c>
      <c r="B30" s="22" t="s">
        <v>89</v>
      </c>
      <c r="C30" s="22" t="s">
        <v>90</v>
      </c>
      <c r="D30" s="22" t="s">
        <v>91</v>
      </c>
      <c r="E30" s="22" t="s">
        <v>92</v>
      </c>
      <c r="F30" s="22" t="s">
        <v>93</v>
      </c>
      <c r="G30" s="17"/>
      <c r="H30" s="17"/>
      <c r="I30" s="17"/>
      <c r="J30" s="17"/>
      <c r="K30" s="17"/>
      <c r="L30" s="17"/>
      <c r="M30" s="16"/>
    </row>
    <row r="31" spans="1:13" ht="19.5" customHeight="1" x14ac:dyDescent="0.45">
      <c r="A31" s="28">
        <v>0</v>
      </c>
      <c r="B31" s="29">
        <f>CF_MODEL!B4</f>
        <v>-384561</v>
      </c>
      <c r="C31" s="29">
        <f>CF_MODEL!B5+CF_MODEL!B6</f>
        <v>0</v>
      </c>
      <c r="D31" s="29">
        <f>CF_MODEL!B7</f>
        <v>-384561</v>
      </c>
      <c r="E31" s="29">
        <f>CF_MODEL!B9</f>
        <v>-384561</v>
      </c>
      <c r="F31" s="30">
        <f>CF_MODEL!B10</f>
        <v>-384561</v>
      </c>
      <c r="G31" s="17"/>
      <c r="H31" s="17"/>
      <c r="I31" s="17"/>
      <c r="J31" s="17"/>
      <c r="K31" s="17"/>
      <c r="L31" s="17"/>
      <c r="M31" s="16"/>
    </row>
    <row r="32" spans="1:13" ht="19.5" customHeight="1" x14ac:dyDescent="0.45">
      <c r="A32" s="28">
        <v>1</v>
      </c>
      <c r="B32" s="29">
        <f>CF_MODEL!C4</f>
        <v>0</v>
      </c>
      <c r="C32" s="29">
        <f>CF_MODEL!C5+CF_MODEL!C6</f>
        <v>208000.60505615087</v>
      </c>
      <c r="D32" s="29">
        <f>CF_MODEL!C7</f>
        <v>208000.60505615087</v>
      </c>
      <c r="E32" s="29">
        <f>CF_MODEL!C9</f>
        <v>192593.15282976933</v>
      </c>
      <c r="F32" s="30">
        <f>CF_MODEL!C10</f>
        <v>-191967.84717023067</v>
      </c>
      <c r="G32" s="17"/>
      <c r="H32" s="17"/>
      <c r="I32" s="17"/>
      <c r="J32" s="17"/>
      <c r="K32" s="17"/>
      <c r="L32" s="17"/>
      <c r="M32" s="16"/>
    </row>
    <row r="33" spans="1:13" ht="19.5" customHeight="1" x14ac:dyDescent="0.45">
      <c r="A33" s="28">
        <v>2</v>
      </c>
      <c r="B33" s="29">
        <f>CF_MODEL!D4</f>
        <v>0</v>
      </c>
      <c r="C33" s="29">
        <f>CF_MODEL!D5+CF_MODEL!D6</f>
        <v>218400.63530895842</v>
      </c>
      <c r="D33" s="29">
        <f>CF_MODEL!D7</f>
        <v>218400.63530895842</v>
      </c>
      <c r="E33" s="29">
        <f>CF_MODEL!D9</f>
        <v>187243.34302894238</v>
      </c>
      <c r="F33" s="30">
        <f>CF_MODEL!D10</f>
        <v>-4724.5041412882856</v>
      </c>
      <c r="G33" s="17"/>
      <c r="H33" s="17"/>
      <c r="I33" s="17"/>
      <c r="J33" s="17"/>
      <c r="K33" s="17"/>
      <c r="L33" s="17"/>
      <c r="M33" s="16"/>
    </row>
    <row r="34" spans="1:13" ht="19.5" customHeight="1" x14ac:dyDescent="0.45">
      <c r="A34" s="28">
        <v>3</v>
      </c>
      <c r="B34" s="29">
        <f>CF_MODEL!E4</f>
        <v>0</v>
      </c>
      <c r="C34" s="29">
        <f>CF_MODEL!E5+CF_MODEL!E6</f>
        <v>229320.66707440634</v>
      </c>
      <c r="D34" s="29">
        <f>CF_MODEL!E7</f>
        <v>229320.66707440634</v>
      </c>
      <c r="E34" s="29">
        <f>CF_MODEL!E9</f>
        <v>182042.1390559162</v>
      </c>
      <c r="F34" s="30">
        <f>CF_MODEL!E10</f>
        <v>177317.63491462791</v>
      </c>
      <c r="G34" s="17"/>
      <c r="H34" s="17"/>
      <c r="I34" s="17"/>
      <c r="J34" s="17"/>
      <c r="K34" s="17"/>
      <c r="L34" s="17"/>
      <c r="M34" s="16"/>
    </row>
    <row r="35" spans="1:13" ht="19.5" customHeight="1" x14ac:dyDescent="0.45">
      <c r="A35" s="28">
        <v>4</v>
      </c>
      <c r="B35" s="29">
        <f>CF_MODEL!F4</f>
        <v>0</v>
      </c>
      <c r="C35" s="29">
        <f>CF_MODEL!F5+CF_MODEL!F6</f>
        <v>240786.70042812667</v>
      </c>
      <c r="D35" s="29">
        <f>CF_MODEL!F7</f>
        <v>240786.70042812667</v>
      </c>
      <c r="E35" s="29">
        <f>CF_MODEL!F9</f>
        <v>176985.41297102964</v>
      </c>
      <c r="F35" s="30">
        <f>CF_MODEL!F10</f>
        <v>354303.04788565752</v>
      </c>
      <c r="G35" s="17"/>
      <c r="H35" s="17"/>
      <c r="I35" s="17"/>
      <c r="J35" s="17"/>
      <c r="K35" s="17"/>
      <c r="L35" s="17"/>
      <c r="M35" s="16"/>
    </row>
    <row r="36" spans="1:13" ht="19.5" customHeight="1" x14ac:dyDescent="0.45">
      <c r="A36" s="28">
        <v>5</v>
      </c>
      <c r="B36" s="29">
        <f>CF_MODEL!G4</f>
        <v>0</v>
      </c>
      <c r="C36" s="29">
        <f>CF_MODEL!G5+CF_MODEL!G6</f>
        <v>252826.03544953302</v>
      </c>
      <c r="D36" s="29">
        <f>CF_MODEL!G7</f>
        <v>252826.03544953302</v>
      </c>
      <c r="E36" s="29">
        <f>CF_MODEL!G9</f>
        <v>172069.15149961217</v>
      </c>
      <c r="F36" s="30">
        <f>CF_MODEL!G10</f>
        <v>526372.19938526966</v>
      </c>
      <c r="G36" s="17"/>
      <c r="H36" s="17"/>
      <c r="I36" s="17"/>
      <c r="J36" s="17"/>
      <c r="K36" s="17"/>
      <c r="L36" s="17"/>
      <c r="M36" s="16"/>
    </row>
    <row r="37" spans="1:13" ht="19.5" customHeight="1" x14ac:dyDescent="0.45">
      <c r="A37" s="28">
        <v>6</v>
      </c>
      <c r="B37" s="29">
        <f>CF_MODEL!H4</f>
        <v>0</v>
      </c>
      <c r="C37" s="29">
        <f>CF_MODEL!H5+CF_MODEL!H6</f>
        <v>265467.33722200966</v>
      </c>
      <c r="D37" s="29">
        <f>CF_MODEL!H7</f>
        <v>265467.33722200966</v>
      </c>
      <c r="E37" s="29">
        <f>CF_MODEL!H9</f>
        <v>167289.45284684512</v>
      </c>
      <c r="F37" s="30">
        <f>CF_MODEL!H10</f>
        <v>693661.65223211481</v>
      </c>
      <c r="G37" s="17"/>
      <c r="H37" s="17"/>
      <c r="I37" s="17"/>
      <c r="J37" s="17"/>
      <c r="K37" s="17"/>
      <c r="L37" s="17"/>
      <c r="M37" s="16"/>
    </row>
    <row r="38" spans="1:13" ht="19.5" customHeight="1" x14ac:dyDescent="0.45">
      <c r="A38" s="28">
        <v>7</v>
      </c>
      <c r="B38" s="29">
        <f>CF_MODEL!I4</f>
        <v>0</v>
      </c>
      <c r="C38" s="29">
        <f>CF_MODEL!I5+CF_MODEL!I6</f>
        <v>278740.70408311015</v>
      </c>
      <c r="D38" s="29">
        <f>CF_MODEL!I7</f>
        <v>278740.70408311015</v>
      </c>
      <c r="E38" s="29">
        <f>CF_MODEL!I9</f>
        <v>162642.52360109941</v>
      </c>
      <c r="F38" s="30">
        <f>CF_MODEL!I10</f>
        <v>856304.17583321419</v>
      </c>
      <c r="G38" s="17"/>
      <c r="H38" s="17"/>
      <c r="I38" s="17"/>
      <c r="J38" s="17"/>
      <c r="K38" s="17"/>
      <c r="L38" s="17"/>
      <c r="M38" s="16"/>
    </row>
    <row r="39" spans="1:13" ht="19.5" customHeight="1" x14ac:dyDescent="0.45">
      <c r="A39" s="28">
        <v>8</v>
      </c>
      <c r="B39" s="29">
        <f>CF_MODEL!J4</f>
        <v>0</v>
      </c>
      <c r="C39" s="29">
        <f>CF_MODEL!J5+CF_MODEL!J6</f>
        <v>292677.73928726569</v>
      </c>
      <c r="D39" s="29">
        <f>CF_MODEL!J7</f>
        <v>292677.73928726569</v>
      </c>
      <c r="E39" s="29">
        <f>CF_MODEL!J9</f>
        <v>158124.67572329112</v>
      </c>
      <c r="F39" s="30">
        <f>CF_MODEL!J10</f>
        <v>1014428.8515565053</v>
      </c>
      <c r="G39" s="17"/>
      <c r="H39" s="17"/>
      <c r="I39" s="17"/>
      <c r="J39" s="17"/>
      <c r="K39" s="17"/>
      <c r="L39" s="17"/>
      <c r="M39" s="16"/>
    </row>
    <row r="40" spans="1:13" ht="19.5" customHeight="1" x14ac:dyDescent="0.45">
      <c r="A40" s="28">
        <v>9</v>
      </c>
      <c r="B40" s="29">
        <f>CF_MODEL!K4</f>
        <v>0</v>
      </c>
      <c r="C40" s="29">
        <f>CF_MODEL!K5+CF_MODEL!K6</f>
        <v>307311.62625162897</v>
      </c>
      <c r="D40" s="29">
        <f>CF_MODEL!K7</f>
        <v>307311.62625162897</v>
      </c>
      <c r="E40" s="29">
        <f>CF_MODEL!K9</f>
        <v>153732.32361986637</v>
      </c>
      <c r="F40" s="30">
        <f>CF_MODEL!K10</f>
        <v>1168161.1751763716</v>
      </c>
      <c r="G40" s="17"/>
      <c r="H40" s="17"/>
      <c r="I40" s="17"/>
      <c r="J40" s="17"/>
      <c r="K40" s="17"/>
      <c r="L40" s="17"/>
      <c r="M40" s="16"/>
    </row>
    <row r="41" spans="1:13" ht="19.5" customHeight="1" x14ac:dyDescent="0.45">
      <c r="A41" s="28">
        <v>10</v>
      </c>
      <c r="B41" s="29">
        <f>CF_MODEL!L4</f>
        <v>0</v>
      </c>
      <c r="C41" s="29">
        <f>CF_MODEL!L5+CF_MODEL!L6</f>
        <v>322677.20756421046</v>
      </c>
      <c r="D41" s="29">
        <f>CF_MODEL!L7</f>
        <v>322677.20756421046</v>
      </c>
      <c r="E41" s="29">
        <f>CF_MODEL!L9</f>
        <v>149461.98129709231</v>
      </c>
      <c r="F41" s="30">
        <f>CF_MODEL!L10</f>
        <v>1317623.1564734639</v>
      </c>
      <c r="G41" s="17"/>
      <c r="H41" s="17"/>
      <c r="I41" s="17"/>
      <c r="J41" s="17"/>
      <c r="K41" s="17"/>
      <c r="L41" s="17"/>
      <c r="M41" s="16"/>
    </row>
    <row r="42" spans="1:13" ht="19.5" customHeight="1" x14ac:dyDescent="0.45">
      <c r="A42" s="28">
        <v>11</v>
      </c>
      <c r="B42" s="29">
        <f>CF_MODEL!M4</f>
        <v>0</v>
      </c>
      <c r="C42" s="29">
        <f>CF_MODEL!M5+CF_MODEL!M6</f>
        <v>338811.06794242101</v>
      </c>
      <c r="D42" s="29">
        <f>CF_MODEL!M7</f>
        <v>338811.06794242101</v>
      </c>
      <c r="E42" s="29">
        <f>CF_MODEL!M9</f>
        <v>145310.25959439532</v>
      </c>
      <c r="F42" s="30">
        <f>CF_MODEL!M10</f>
        <v>1462933.4160678592</v>
      </c>
      <c r="G42" s="17"/>
      <c r="H42" s="17"/>
      <c r="I42" s="17"/>
      <c r="J42" s="17"/>
      <c r="K42" s="17"/>
      <c r="L42" s="17"/>
      <c r="M42" s="16"/>
    </row>
    <row r="43" spans="1:13" ht="19.5" customHeight="1" x14ac:dyDescent="0.45">
      <c r="A43" s="28">
        <v>12</v>
      </c>
      <c r="B43" s="29">
        <f>CF_MODEL!N4</f>
        <v>0</v>
      </c>
      <c r="C43" s="29">
        <f>CF_MODEL!N5+CF_MODEL!N6</f>
        <v>355751.62133954209</v>
      </c>
      <c r="D43" s="29">
        <f>CF_MODEL!N7</f>
        <v>355751.62133954209</v>
      </c>
      <c r="E43" s="29">
        <f>CF_MODEL!N9</f>
        <v>141273.86349455098</v>
      </c>
      <c r="F43" s="30">
        <f>CF_MODEL!N10</f>
        <v>1604207.2795624102</v>
      </c>
      <c r="G43" s="17"/>
      <c r="H43" s="17"/>
      <c r="I43" s="17"/>
      <c r="J43" s="17"/>
      <c r="K43" s="17"/>
      <c r="L43" s="17"/>
      <c r="M43" s="16"/>
    </row>
    <row r="44" spans="1:13" ht="19.5" customHeight="1" x14ac:dyDescent="0.45">
      <c r="A44" s="28">
        <v>13</v>
      </c>
      <c r="B44" s="29">
        <f>CF_MODEL!O4</f>
        <v>0</v>
      </c>
      <c r="C44" s="29">
        <f>CF_MODEL!O5+CF_MODEL!O6</f>
        <v>373539.20240651921</v>
      </c>
      <c r="D44" s="29">
        <f>CF_MODEL!O7</f>
        <v>373539.20240651921</v>
      </c>
      <c r="E44" s="29">
        <f>CF_MODEL!O9</f>
        <v>137349.58950859125</v>
      </c>
      <c r="F44" s="30">
        <f>CF_MODEL!O10</f>
        <v>1741556.8690710014</v>
      </c>
      <c r="G44" s="17"/>
      <c r="H44" s="17"/>
      <c r="I44" s="17"/>
      <c r="J44" s="17"/>
      <c r="K44" s="17"/>
      <c r="L44" s="17"/>
      <c r="M44" s="16"/>
    </row>
    <row r="45" spans="1:13" ht="19.5" customHeight="1" x14ac:dyDescent="0.45">
      <c r="A45" s="28">
        <v>14</v>
      </c>
      <c r="B45" s="29">
        <f>CF_MODEL!P4</f>
        <v>0</v>
      </c>
      <c r="C45" s="29">
        <f>CF_MODEL!P5+CF_MODEL!P6</f>
        <v>392216.16252684518</v>
      </c>
      <c r="D45" s="29">
        <f>CF_MODEL!P7</f>
        <v>392216.16252684518</v>
      </c>
      <c r="E45" s="29">
        <f>CF_MODEL!P9</f>
        <v>133534.32313335259</v>
      </c>
      <c r="F45" s="30">
        <f>CF_MODEL!P10</f>
        <v>1875091.1922043541</v>
      </c>
      <c r="G45" s="17"/>
      <c r="H45" s="17"/>
      <c r="I45" s="17"/>
      <c r="J45" s="17"/>
      <c r="K45" s="17"/>
      <c r="L45" s="17"/>
      <c r="M45" s="16"/>
    </row>
    <row r="46" spans="1:13" ht="19.5" customHeight="1" x14ac:dyDescent="0.45">
      <c r="A46" s="28">
        <v>15</v>
      </c>
      <c r="B46" s="29">
        <f>CF_MODEL!Q4</f>
        <v>0</v>
      </c>
      <c r="C46" s="29">
        <f>CF_MODEL!Q5+CF_MODEL!Q6</f>
        <v>411826.97065318743</v>
      </c>
      <c r="D46" s="29">
        <f>CF_MODEL!Q7</f>
        <v>411826.97065318743</v>
      </c>
      <c r="E46" s="29">
        <f>CF_MODEL!Q9</f>
        <v>129825.03637964833</v>
      </c>
      <c r="F46" s="30">
        <f>CF_MODEL!Q10</f>
        <v>2004916.2285840025</v>
      </c>
      <c r="G46" s="17"/>
      <c r="H46" s="17"/>
      <c r="I46" s="17"/>
      <c r="J46" s="17"/>
      <c r="K46" s="17"/>
      <c r="L46" s="17"/>
      <c r="M46" s="16"/>
    </row>
    <row r="47" spans="1:13" ht="25.5" customHeight="1" x14ac:dyDescent="0.45">
      <c r="A47" s="31" t="s">
        <v>94</v>
      </c>
      <c r="B47" s="32">
        <f>SUM(B31:B46)</f>
        <v>-384561</v>
      </c>
      <c r="C47" s="33">
        <f>SUM(C31:C46)</f>
        <v>4488354.2825939152</v>
      </c>
      <c r="D47" s="33">
        <f>SUM(D31:D46)</f>
        <v>4103793.2825939152</v>
      </c>
      <c r="E47" s="33">
        <f>SUM(E31:E46)</f>
        <v>2004916.2285840025</v>
      </c>
      <c r="F47" s="34">
        <f>F46</f>
        <v>2004916.2285840025</v>
      </c>
      <c r="G47" s="16"/>
      <c r="H47" s="16"/>
      <c r="I47" s="16"/>
      <c r="J47" s="16"/>
      <c r="K47" s="16"/>
      <c r="L47" s="16"/>
      <c r="M47" s="16"/>
    </row>
    <row r="48" spans="1:13" ht="6" customHeight="1" x14ac:dyDescent="0.4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0.75" customHeight="1" x14ac:dyDescent="0.45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6"/>
    </row>
    <row r="50" spans="1:13" ht="21.75" customHeight="1" x14ac:dyDescent="0.45">
      <c r="A50" s="147" t="s">
        <v>70</v>
      </c>
      <c r="B50" s="147"/>
      <c r="C50" s="147"/>
      <c r="D50" s="147"/>
      <c r="E50" s="147"/>
      <c r="F50" s="147"/>
      <c r="G50" s="148" t="s">
        <v>71</v>
      </c>
      <c r="H50" s="148"/>
      <c r="I50" s="148"/>
      <c r="J50" s="148"/>
      <c r="K50" s="148"/>
      <c r="L50" s="148"/>
      <c r="M50" s="16"/>
    </row>
    <row r="51" spans="1:13" ht="15" customHeight="1" x14ac:dyDescent="0.4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2" spans="1:13" ht="15" customHeight="1" x14ac:dyDescent="0.4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 spans="1:13" ht="15" customHeight="1" x14ac:dyDescent="0.4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</row>
    <row r="54" spans="1:13" ht="15" customHeight="1" x14ac:dyDescent="0.4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</row>
    <row r="55" spans="1:13" ht="15" customHeight="1" x14ac:dyDescent="0.4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</row>
    <row r="56" spans="1:13" ht="15" customHeight="1" x14ac:dyDescent="0.4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</row>
    <row r="57" spans="1:13" ht="15" customHeight="1" x14ac:dyDescent="0.4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8" spans="1:13" ht="15" customHeight="1" x14ac:dyDescent="0.4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 spans="1:13" ht="15" customHeight="1" x14ac:dyDescent="0.4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</row>
    <row r="60" spans="1:13" ht="15" customHeight="1" x14ac:dyDescent="0.4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</row>
    <row r="61" spans="1:13" ht="15" customHeight="1" x14ac:dyDescent="0.4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</row>
    <row r="62" spans="1:13" ht="15" customHeight="1" x14ac:dyDescent="0.4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spans="1:13" ht="15" customHeight="1" x14ac:dyDescent="0.4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</row>
    <row r="64" spans="1:13" ht="15" customHeight="1" x14ac:dyDescent="0.4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</row>
    <row r="65" spans="1:13" ht="15" customHeight="1" x14ac:dyDescent="0.4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</row>
    <row r="66" spans="1:13" ht="15" customHeight="1" x14ac:dyDescent="0.4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</row>
    <row r="67" spans="1:13" ht="15" customHeight="1" x14ac:dyDescent="0.4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</row>
    <row r="68" spans="1:13" ht="15" customHeight="1" x14ac:dyDescent="0.4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spans="1:13" ht="15" customHeight="1" x14ac:dyDescent="0.4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</row>
    <row r="70" spans="1:13" ht="15" customHeight="1" x14ac:dyDescent="0.4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</row>
    <row r="71" spans="1:13" ht="15" customHeight="1" x14ac:dyDescent="0.4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</row>
    <row r="72" spans="1:13" ht="15" customHeight="1" x14ac:dyDescent="0.4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 spans="1:13" ht="15" customHeight="1" x14ac:dyDescent="0.4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</row>
    <row r="74" spans="1:13" ht="15" customHeight="1" x14ac:dyDescent="0.4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</row>
    <row r="75" spans="1:13" ht="15" customHeight="1" x14ac:dyDescent="0.4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</row>
    <row r="76" spans="1:13" ht="15" customHeight="1" x14ac:dyDescent="0.4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</row>
    <row r="77" spans="1:13" ht="15" customHeight="1" x14ac:dyDescent="0.4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</row>
    <row r="78" spans="1:13" ht="15" customHeight="1" x14ac:dyDescent="0.4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</row>
    <row r="79" spans="1:13" ht="15" customHeight="1" x14ac:dyDescent="0.4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</row>
    <row r="80" spans="1:13" ht="15" customHeight="1" x14ac:dyDescent="0.4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</row>
  </sheetData>
  <mergeCells count="25">
    <mergeCell ref="A49:L49"/>
    <mergeCell ref="A50:F50"/>
    <mergeCell ref="G50:L50"/>
    <mergeCell ref="A11:L11"/>
    <mergeCell ref="A12:F12"/>
    <mergeCell ref="G12:L12"/>
    <mergeCell ref="A28:L28"/>
    <mergeCell ref="A29:F29"/>
    <mergeCell ref="G29:L29"/>
    <mergeCell ref="A8:C8"/>
    <mergeCell ref="D8:F8"/>
    <mergeCell ref="G8:I8"/>
    <mergeCell ref="J8:L8"/>
    <mergeCell ref="A9:C9"/>
    <mergeCell ref="D9:F9"/>
    <mergeCell ref="G9:I9"/>
    <mergeCell ref="J9:L9"/>
    <mergeCell ref="A2:I2"/>
    <mergeCell ref="J2:L2"/>
    <mergeCell ref="A3:I3"/>
    <mergeCell ref="J3:L3"/>
    <mergeCell ref="A7:C7"/>
    <mergeCell ref="D7:F7"/>
    <mergeCell ref="G7:I7"/>
    <mergeCell ref="J7:L7"/>
  </mergeCells>
  <printOptions horizontalCentered="1"/>
  <pageMargins left="0.75" right="0.75" top="1" bottom="1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BBF24"/>
    <pageSetUpPr fitToPage="1"/>
  </sheetPr>
  <dimension ref="A1:M80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25" x14ac:dyDescent="0.45"/>
  <cols>
    <col min="1" max="12" width="22" customWidth="1"/>
  </cols>
  <sheetData>
    <row r="1" spans="1:13" ht="7.5" customHeight="1" x14ac:dyDescent="0.4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36" customHeight="1" x14ac:dyDescent="0.45">
      <c r="A2" s="132" t="s">
        <v>95</v>
      </c>
      <c r="B2" s="132"/>
      <c r="C2" s="132"/>
      <c r="D2" s="132"/>
      <c r="E2" s="132"/>
      <c r="F2" s="132"/>
      <c r="G2" s="132"/>
      <c r="H2" s="132"/>
      <c r="I2" s="132"/>
      <c r="J2" s="152" t="s">
        <v>11</v>
      </c>
      <c r="K2" s="152"/>
      <c r="L2" s="152"/>
      <c r="M2" s="16"/>
    </row>
    <row r="3" spans="1:13" ht="21.75" customHeight="1" x14ac:dyDescent="0.45">
      <c r="A3" s="134" t="s">
        <v>96</v>
      </c>
      <c r="B3" s="134"/>
      <c r="C3" s="134"/>
      <c r="D3" s="134"/>
      <c r="E3" s="134"/>
      <c r="F3" s="134"/>
      <c r="G3" s="134"/>
      <c r="H3" s="134"/>
      <c r="I3" s="134"/>
      <c r="J3" s="135" t="str">
        <f>CONCATENATE("Carga: ",CargaKW," kW · COP: ",COP)</f>
        <v>Carga: 250 kW · COP: 3</v>
      </c>
      <c r="K3" s="135"/>
      <c r="L3" s="135"/>
      <c r="M3" s="16"/>
    </row>
    <row r="4" spans="1:13" ht="1.5" customHeight="1" x14ac:dyDescent="0.4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6"/>
    </row>
    <row r="5" spans="1:13" ht="12" customHeight="1" x14ac:dyDescent="0.4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ht="3.75" customHeight="1" x14ac:dyDescent="0.45">
      <c r="A6" s="18"/>
      <c r="B6" s="18"/>
      <c r="C6" s="18"/>
      <c r="D6" s="15"/>
      <c r="E6" s="15"/>
      <c r="F6" s="15"/>
      <c r="G6" s="19"/>
      <c r="H6" s="19"/>
      <c r="I6" s="19"/>
      <c r="J6" s="27"/>
      <c r="K6" s="27"/>
      <c r="L6" s="27"/>
      <c r="M6" s="16"/>
    </row>
    <row r="7" spans="1:13" ht="21.75" customHeight="1" x14ac:dyDescent="0.45">
      <c r="A7" s="6" t="s">
        <v>97</v>
      </c>
      <c r="B7" s="6"/>
      <c r="C7" s="6"/>
      <c r="D7" s="6" t="s">
        <v>98</v>
      </c>
      <c r="E7" s="6"/>
      <c r="F7" s="6"/>
      <c r="G7" s="6" t="s">
        <v>99</v>
      </c>
      <c r="H7" s="6"/>
      <c r="I7" s="6"/>
      <c r="J7" s="6" t="s">
        <v>100</v>
      </c>
      <c r="K7" s="6"/>
      <c r="L7" s="6"/>
      <c r="M7" s="16"/>
    </row>
    <row r="8" spans="1:13" ht="43.5" customHeight="1" x14ac:dyDescent="0.45">
      <c r="A8" s="153">
        <f>_AUX!I3-_AUX!J3</f>
        <v>309.79629864737797</v>
      </c>
      <c r="B8" s="153"/>
      <c r="C8" s="153"/>
      <c r="D8" s="154">
        <f>_AUX!I4</f>
        <v>223803.254972875</v>
      </c>
      <c r="E8" s="154"/>
      <c r="F8" s="154"/>
      <c r="G8" s="155">
        <f>_AUX!I5</f>
        <v>13940.833439132</v>
      </c>
      <c r="H8" s="155"/>
      <c r="I8" s="155"/>
      <c r="J8" s="137">
        <f>1-(SUM(OPEX_DET!C2:C14)/SUM(OPEX_DET!B2:B14))</f>
        <v>0.68479481743905457</v>
      </c>
      <c r="K8" s="137"/>
      <c r="L8" s="137"/>
      <c r="M8" s="16"/>
    </row>
    <row r="9" spans="1:13" ht="21.75" customHeight="1" x14ac:dyDescent="0.45">
      <c r="A9" s="2" t="s">
        <v>101</v>
      </c>
      <c r="B9" s="2"/>
      <c r="C9" s="2"/>
      <c r="D9" s="2" t="str">
        <f>CONCATENATE("m³/año · ",TEXT(INPUTS!B34,"#,##0")," COP/m³ × TRM ",TEXT(INPUTS!B35,"#,##0"))</f>
        <v>m³/año · 4000,0 COP/m³ × TRM 4277,370</v>
      </c>
      <c r="E9" s="2"/>
      <c r="F9" s="2"/>
      <c r="G9" s="2" t="s">
        <v>102</v>
      </c>
      <c r="H9" s="2"/>
      <c r="I9" s="2"/>
      <c r="J9" s="2" t="s">
        <v>103</v>
      </c>
      <c r="K9" s="2"/>
      <c r="L9" s="2"/>
      <c r="M9" s="16"/>
    </row>
    <row r="10" spans="1:13" ht="9.75" customHeight="1" x14ac:dyDescent="0.4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 ht="24" customHeight="1" x14ac:dyDescent="0.45">
      <c r="A11" s="140" t="s">
        <v>104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6"/>
    </row>
    <row r="12" spans="1:13" ht="30" customHeight="1" x14ac:dyDescent="0.45">
      <c r="A12" s="141" t="s">
        <v>105</v>
      </c>
      <c r="B12" s="141"/>
      <c r="C12" s="141"/>
      <c r="D12" s="141"/>
      <c r="E12" s="141"/>
      <c r="F12" s="141"/>
      <c r="G12" s="141" t="s">
        <v>106</v>
      </c>
      <c r="H12" s="141"/>
      <c r="I12" s="141"/>
      <c r="J12" s="141"/>
      <c r="K12" s="141"/>
      <c r="L12" s="141"/>
      <c r="M12" s="16"/>
    </row>
    <row r="13" spans="1:13" ht="18" customHeight="1" x14ac:dyDescent="0.4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6"/>
    </row>
    <row r="14" spans="1:13" ht="18" customHeight="1" x14ac:dyDescent="0.4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6"/>
    </row>
    <row r="15" spans="1:13" ht="18" customHeight="1" x14ac:dyDescent="0.4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6"/>
    </row>
    <row r="16" spans="1:13" ht="18" customHeight="1" x14ac:dyDescent="0.4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6"/>
    </row>
    <row r="17" spans="1:13" ht="18" customHeight="1" x14ac:dyDescent="0.4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6"/>
    </row>
    <row r="18" spans="1:13" ht="18" customHeight="1" x14ac:dyDescent="0.4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6"/>
    </row>
    <row r="19" spans="1:13" ht="18" customHeight="1" x14ac:dyDescent="0.4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6"/>
    </row>
    <row r="20" spans="1:13" ht="18" customHeight="1" x14ac:dyDescent="0.4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6"/>
    </row>
    <row r="21" spans="1:13" ht="18" customHeight="1" x14ac:dyDescent="0.4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6"/>
    </row>
    <row r="22" spans="1:13" ht="18" customHeight="1" x14ac:dyDescent="0.4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6"/>
    </row>
    <row r="23" spans="1:13" ht="18" customHeight="1" x14ac:dyDescent="0.4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6"/>
    </row>
    <row r="24" spans="1:13" ht="18" customHeight="1" x14ac:dyDescent="0.4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6"/>
    </row>
    <row r="25" spans="1:13" ht="18" customHeight="1" x14ac:dyDescent="0.4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6"/>
    </row>
    <row r="26" spans="1:13" ht="18" customHeight="1" x14ac:dyDescent="0.4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6"/>
    </row>
    <row r="27" spans="1:13" ht="9.75" customHeight="1" x14ac:dyDescent="0.4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spans="1:13" ht="24" customHeight="1" x14ac:dyDescent="0.45">
      <c r="A28" s="140" t="s">
        <v>107</v>
      </c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6"/>
    </row>
    <row r="29" spans="1:13" ht="30" customHeight="1" x14ac:dyDescent="0.45">
      <c r="A29" s="141" t="s">
        <v>108</v>
      </c>
      <c r="B29" s="141"/>
      <c r="C29" s="141"/>
      <c r="D29" s="141"/>
      <c r="E29" s="141"/>
      <c r="F29" s="141"/>
      <c r="G29" s="141" t="s">
        <v>109</v>
      </c>
      <c r="H29" s="141"/>
      <c r="I29" s="141"/>
      <c r="J29" s="141"/>
      <c r="K29" s="141"/>
      <c r="L29" s="141"/>
      <c r="M29" s="16"/>
    </row>
    <row r="30" spans="1:13" ht="27.75" customHeight="1" x14ac:dyDescent="0.45">
      <c r="A30" s="22" t="s">
        <v>110</v>
      </c>
      <c r="B30" s="22" t="s">
        <v>111</v>
      </c>
      <c r="C30" s="22" t="s">
        <v>112</v>
      </c>
      <c r="D30" s="22" t="s">
        <v>113</v>
      </c>
      <c r="E30" s="22" t="s">
        <v>114</v>
      </c>
      <c r="F30" s="22" t="s">
        <v>115</v>
      </c>
      <c r="G30" s="17"/>
      <c r="H30" s="17"/>
      <c r="I30" s="17"/>
      <c r="J30" s="17"/>
      <c r="K30" s="17"/>
      <c r="L30" s="17"/>
      <c r="M30" s="16"/>
    </row>
    <row r="31" spans="1:13" ht="19.5" customHeight="1" x14ac:dyDescent="0.45">
      <c r="A31" s="35" t="str">
        <f>OPEX_DET!A2</f>
        <v>Costo energía</v>
      </c>
      <c r="B31" s="36">
        <f>OPEX_DET!B2</f>
        <v>208188.99754250579</v>
      </c>
      <c r="C31" s="36">
        <f>OPEX_DET!C2</f>
        <v>64759.81395348857</v>
      </c>
      <c r="D31" s="37">
        <f>OPEX_DET!D2</f>
        <v>143429.18358901722</v>
      </c>
      <c r="E31" s="24">
        <f>IFERROR(OPEX_DET!B2/SUM(OPEX_DET!B$2:B$14),0)</f>
        <v>0.68541505697280714</v>
      </c>
      <c r="F31" s="38">
        <f>IFERROR(1-OPEX_DET!C2/OPEX_DET!B2,0)</f>
        <v>0.68893738517441772</v>
      </c>
      <c r="G31" s="17"/>
      <c r="H31" s="17"/>
      <c r="I31" s="17"/>
      <c r="J31" s="17"/>
      <c r="K31" s="17"/>
      <c r="L31" s="17"/>
      <c r="M31" s="16"/>
    </row>
    <row r="32" spans="1:13" ht="19.5" customHeight="1" x14ac:dyDescent="0.45">
      <c r="A32" s="35" t="str">
        <f>OPEX_DET!A3</f>
        <v>Preventivo</v>
      </c>
      <c r="B32" s="36">
        <f>OPEX_DET!B3</f>
        <v>18183.673469387752</v>
      </c>
      <c r="C32" s="36">
        <f>OPEX_DET!C3</f>
        <v>7576.5306122448974</v>
      </c>
      <c r="D32" s="37">
        <f>OPEX_DET!D3</f>
        <v>10607.142857142855</v>
      </c>
      <c r="E32" s="24">
        <f>IFERROR(OPEX_DET!B3/SUM(OPEX_DET!B$2:B$14),0)</f>
        <v>5.9865620825858924E-2</v>
      </c>
      <c r="F32" s="38">
        <f>IFERROR(1-OPEX_DET!C3/OPEX_DET!B3,0)</f>
        <v>0.58333333333333326</v>
      </c>
      <c r="G32" s="17"/>
      <c r="H32" s="17"/>
      <c r="I32" s="17"/>
      <c r="J32" s="17"/>
      <c r="K32" s="17"/>
      <c r="L32" s="17"/>
      <c r="M32" s="16"/>
    </row>
    <row r="33" spans="1:13" ht="19.5" customHeight="1" x14ac:dyDescent="0.45">
      <c r="A33" s="35" t="str">
        <f>OPEX_DET!A4</f>
        <v>Correctivo</v>
      </c>
      <c r="B33" s="36">
        <f>OPEX_DET!B4</f>
        <v>12122.448979591836</v>
      </c>
      <c r="C33" s="36">
        <f>OPEX_DET!C4</f>
        <v>3838.7755102040815</v>
      </c>
      <c r="D33" s="37">
        <f>OPEX_DET!D4</f>
        <v>8283.6734693877552</v>
      </c>
      <c r="E33" s="24">
        <f>IFERROR(OPEX_DET!B4/SUM(OPEX_DET!B$2:B$14),0)</f>
        <v>3.9910413883905954E-2</v>
      </c>
      <c r="F33" s="38">
        <f>IFERROR(1-OPEX_DET!C4/OPEX_DET!B4,0)</f>
        <v>0.68333333333333335</v>
      </c>
      <c r="G33" s="17"/>
      <c r="H33" s="17"/>
      <c r="I33" s="17"/>
      <c r="J33" s="17"/>
      <c r="K33" s="17"/>
      <c r="L33" s="17"/>
      <c r="M33" s="16"/>
    </row>
    <row r="34" spans="1:13" ht="19.5" customHeight="1" x14ac:dyDescent="0.45">
      <c r="A34" s="35" t="str">
        <f>OPEX_DET!A5</f>
        <v>Inspecciones</v>
      </c>
      <c r="B34" s="36">
        <f>OPEX_DET!B5</f>
        <v>8586.7346938775499</v>
      </c>
      <c r="C34" s="36">
        <f>OPEX_DET!C5</f>
        <v>3232.6530612244896</v>
      </c>
      <c r="D34" s="37">
        <f>OPEX_DET!D5</f>
        <v>5354.0816326530603</v>
      </c>
      <c r="E34" s="24">
        <f>IFERROR(OPEX_DET!B5/SUM(OPEX_DET!B$2:B$14),0)</f>
        <v>2.826987650110005E-2</v>
      </c>
      <c r="F34" s="38">
        <f>IFERROR(1-OPEX_DET!C5/OPEX_DET!B5,0)</f>
        <v>0.62352941176470589</v>
      </c>
      <c r="G34" s="17"/>
      <c r="H34" s="17"/>
      <c r="I34" s="17"/>
      <c r="J34" s="17"/>
      <c r="K34" s="17"/>
      <c r="L34" s="17"/>
      <c r="M34" s="16"/>
    </row>
    <row r="35" spans="1:13" ht="19.5" customHeight="1" x14ac:dyDescent="0.45">
      <c r="A35" s="35" t="str">
        <f>OPEX_DET!A6</f>
        <v>Químicos caldera</v>
      </c>
      <c r="B35" s="36">
        <f>OPEX_DET!B6</f>
        <v>6566.3265306122439</v>
      </c>
      <c r="C35" s="36">
        <f>OPEX_DET!C6</f>
        <v>0</v>
      </c>
      <c r="D35" s="37">
        <f>OPEX_DET!D6</f>
        <v>6566.3265306122439</v>
      </c>
      <c r="E35" s="24">
        <f>IFERROR(OPEX_DET!B6/SUM(OPEX_DET!B$2:B$14),0)</f>
        <v>2.161814085378239E-2</v>
      </c>
      <c r="F35" s="38">
        <f>IFERROR(1-OPEX_DET!C6/OPEX_DET!B6,0)</f>
        <v>1</v>
      </c>
      <c r="G35" s="17"/>
      <c r="H35" s="17"/>
      <c r="I35" s="17"/>
      <c r="J35" s="17"/>
      <c r="K35" s="17"/>
      <c r="L35" s="17"/>
      <c r="M35" s="16"/>
    </row>
    <row r="36" spans="1:13" ht="19.5" customHeight="1" x14ac:dyDescent="0.45">
      <c r="A36" s="35" t="str">
        <f>OPEX_DET!A7</f>
        <v>Agua reposición sistema enfriamiento</v>
      </c>
      <c r="B36" s="36">
        <f>OPEX_DET!B7</f>
        <v>15839.999999999998</v>
      </c>
      <c r="C36" s="36">
        <f>OPEX_DET!C7</f>
        <v>2161.8367346938771</v>
      </c>
      <c r="D36" s="37">
        <f>OPEX_DET!D7</f>
        <v>13678.163265306121</v>
      </c>
      <c r="E36" s="24">
        <f>IFERROR(OPEX_DET!B7/SUM(OPEX_DET!B$2:B$14),0)</f>
        <v>5.2149607474970446E-2</v>
      </c>
      <c r="F36" s="38">
        <f>IFERROR(1-OPEX_DET!C7/OPEX_DET!B7,0)</f>
        <v>0.86352040816326525</v>
      </c>
      <c r="G36" s="17"/>
      <c r="H36" s="17"/>
      <c r="I36" s="17"/>
      <c r="J36" s="17"/>
      <c r="K36" s="17"/>
      <c r="L36" s="17"/>
      <c r="M36" s="16"/>
    </row>
    <row r="37" spans="1:13" ht="19.5" customHeight="1" x14ac:dyDescent="0.45">
      <c r="A37" s="35" t="str">
        <f>OPEX_DET!A8</f>
        <v>Análisis calidad</v>
      </c>
      <c r="B37" s="36">
        <f>OPEX_DET!B8</f>
        <v>3232.6530612244896</v>
      </c>
      <c r="C37" s="36">
        <f>OPEX_DET!C8</f>
        <v>1818.3673469387754</v>
      </c>
      <c r="D37" s="37">
        <f>OPEX_DET!D8</f>
        <v>1414.2857142857142</v>
      </c>
      <c r="E37" s="24">
        <f>IFERROR(OPEX_DET!B8/SUM(OPEX_DET!B$2:B$14),0)</f>
        <v>1.0642777035708255E-2</v>
      </c>
      <c r="F37" s="38">
        <f>IFERROR(1-OPEX_DET!C8/OPEX_DET!B8,0)</f>
        <v>0.4375</v>
      </c>
      <c r="G37" s="17"/>
      <c r="H37" s="17"/>
      <c r="I37" s="17"/>
      <c r="J37" s="17"/>
      <c r="K37" s="17"/>
      <c r="L37" s="17"/>
      <c r="M37" s="16"/>
    </row>
    <row r="38" spans="1:13" ht="19.5" customHeight="1" x14ac:dyDescent="0.45">
      <c r="A38" s="35" t="str">
        <f>OPEX_DET!A9</f>
        <v>Operador</v>
      </c>
      <c r="B38" s="36">
        <f>OPEX_DET!B9</f>
        <v>2790.6976744186045</v>
      </c>
      <c r="C38" s="36">
        <f>OPEX_DET!C9</f>
        <v>0</v>
      </c>
      <c r="D38" s="37">
        <f>OPEX_DET!D9</f>
        <v>2790.6976744186045</v>
      </c>
      <c r="E38" s="24">
        <f>IFERROR(OPEX_DET!B9/SUM(OPEX_DET!B$2:B$14),0)</f>
        <v>9.1877391604951453E-3</v>
      </c>
      <c r="F38" s="38">
        <f>IFERROR(1-OPEX_DET!C9/OPEX_DET!B9,0)</f>
        <v>1</v>
      </c>
      <c r="G38" s="17"/>
      <c r="H38" s="17"/>
      <c r="I38" s="17"/>
      <c r="J38" s="17"/>
      <c r="K38" s="17"/>
      <c r="L38" s="17"/>
      <c r="M38" s="16"/>
    </row>
    <row r="39" spans="1:13" ht="19.5" customHeight="1" x14ac:dyDescent="0.45">
      <c r="A39" s="35" t="str">
        <f>OPEX_DET!A10</f>
        <v>Supervisión</v>
      </c>
      <c r="B39" s="36">
        <f>OPEX_DET!B10</f>
        <v>8081.6326530612241</v>
      </c>
      <c r="C39" s="36">
        <f>OPEX_DET!C10</f>
        <v>4040.8163265306121</v>
      </c>
      <c r="D39" s="37">
        <f>OPEX_DET!D10</f>
        <v>4040.8163265306121</v>
      </c>
      <c r="E39" s="24">
        <f>IFERROR(OPEX_DET!B10/SUM(OPEX_DET!B$2:B$14),0)</f>
        <v>2.6606942589270637E-2</v>
      </c>
      <c r="F39" s="38">
        <f>IFERROR(1-OPEX_DET!C10/OPEX_DET!B10,0)</f>
        <v>0.5</v>
      </c>
      <c r="G39" s="17"/>
      <c r="H39" s="17"/>
      <c r="I39" s="17"/>
      <c r="J39" s="17"/>
      <c r="K39" s="17"/>
      <c r="L39" s="17"/>
      <c r="M39" s="16"/>
    </row>
    <row r="40" spans="1:13" ht="19.5" customHeight="1" x14ac:dyDescent="0.45">
      <c r="A40" s="35" t="str">
        <f>OPEX_DET!A11</f>
        <v>Seguros</v>
      </c>
      <c r="B40" s="36">
        <f>OPEX_DET!B11</f>
        <v>4242.8571428571422</v>
      </c>
      <c r="C40" s="36">
        <f>OPEX_DET!C11</f>
        <v>2828.5714285714284</v>
      </c>
      <c r="D40" s="37">
        <f>OPEX_DET!D11</f>
        <v>1414.2857142857138</v>
      </c>
      <c r="E40" s="24">
        <f>IFERROR(OPEX_DET!B11/SUM(OPEX_DET!B$2:B$14),0)</f>
        <v>1.3968644859367083E-2</v>
      </c>
      <c r="F40" s="38">
        <f>IFERROR(1-OPEX_DET!C11/OPEX_DET!B11,0)</f>
        <v>0.33333333333333326</v>
      </c>
      <c r="G40" s="17"/>
      <c r="H40" s="17"/>
      <c r="I40" s="17"/>
      <c r="J40" s="17"/>
      <c r="K40" s="17"/>
      <c r="L40" s="17"/>
      <c r="M40" s="16"/>
    </row>
    <row r="41" spans="1:13" ht="19.5" customHeight="1" x14ac:dyDescent="0.45">
      <c r="A41" s="35" t="str">
        <f>OPEX_DET!A12</f>
        <v>Certificaciones</v>
      </c>
      <c r="B41" s="36">
        <f>OPEX_DET!B12</f>
        <v>3535.7142857142853</v>
      </c>
      <c r="C41" s="36">
        <f>OPEX_DET!C12</f>
        <v>2121.4285714285711</v>
      </c>
      <c r="D41" s="37">
        <f>OPEX_DET!D12</f>
        <v>1414.2857142857142</v>
      </c>
      <c r="E41" s="24">
        <f>IFERROR(OPEX_DET!B12/SUM(OPEX_DET!B$2:B$14),0)</f>
        <v>1.1640537382805903E-2</v>
      </c>
      <c r="F41" s="38">
        <f>IFERROR(1-OPEX_DET!C12/OPEX_DET!B12,0)</f>
        <v>0.4</v>
      </c>
      <c r="G41" s="17"/>
      <c r="H41" s="17"/>
      <c r="I41" s="17"/>
      <c r="J41" s="17"/>
      <c r="K41" s="17"/>
      <c r="L41" s="17"/>
      <c r="M41" s="16"/>
    </row>
    <row r="42" spans="1:13" ht="19.5" customHeight="1" x14ac:dyDescent="0.45">
      <c r="A42" s="35" t="str">
        <f>OPEX_DET!A13</f>
        <v>Emisiones CO2</v>
      </c>
      <c r="B42" s="36">
        <f>OPEX_DET!B13</f>
        <v>10854.45786618445</v>
      </c>
      <c r="C42" s="36">
        <f>OPEX_DET!C13</f>
        <v>3109.5504000000001</v>
      </c>
      <c r="D42" s="37">
        <f>OPEX_DET!D13</f>
        <v>7744.9074661844497</v>
      </c>
      <c r="E42" s="24">
        <f>IFERROR(OPEX_DET!B13/SUM(OPEX_DET!B$2:B$14),0)</f>
        <v>3.5735840724439673E-2</v>
      </c>
      <c r="F42" s="38">
        <f>IFERROR(1-OPEX_DET!C13/OPEX_DET!B13,0)</f>
        <v>0.71352319587628865</v>
      </c>
      <c r="G42" s="17"/>
      <c r="H42" s="17"/>
      <c r="I42" s="17"/>
      <c r="J42" s="17"/>
      <c r="K42" s="17"/>
      <c r="L42" s="17"/>
      <c r="M42" s="16"/>
    </row>
    <row r="43" spans="1:13" ht="19.5" customHeight="1" x14ac:dyDescent="0.45">
      <c r="A43" s="35" t="str">
        <f>OPEX_DET!A14</f>
        <v>Gestión residuos</v>
      </c>
      <c r="B43" s="36">
        <f>OPEX_DET!B14</f>
        <v>1515.3061224489795</v>
      </c>
      <c r="C43" s="36">
        <f>OPEX_DET!C14</f>
        <v>252.55102040816325</v>
      </c>
      <c r="D43" s="37">
        <f>OPEX_DET!D14</f>
        <v>1262.7551020408164</v>
      </c>
      <c r="E43" s="24">
        <f>IFERROR(OPEX_DET!B14/SUM(OPEX_DET!B$2:B$14),0)</f>
        <v>4.9888017354882443E-3</v>
      </c>
      <c r="F43" s="38">
        <f>IFERROR(1-OPEX_DET!C14/OPEX_DET!B14,0)</f>
        <v>0.83333333333333337</v>
      </c>
      <c r="G43" s="17"/>
      <c r="H43" s="17"/>
      <c r="I43" s="17"/>
      <c r="J43" s="17"/>
      <c r="K43" s="17"/>
      <c r="L43" s="17"/>
      <c r="M43" s="16"/>
    </row>
    <row r="44" spans="1:13" ht="25.5" customHeight="1" x14ac:dyDescent="0.45">
      <c r="A44" s="31" t="s">
        <v>116</v>
      </c>
      <c r="B44" s="33">
        <f>SUM(B31:B43)</f>
        <v>303741.50002188439</v>
      </c>
      <c r="C44" s="33">
        <f>SUM(C31:C43)</f>
        <v>95740.89496573346</v>
      </c>
      <c r="D44" s="34">
        <f>SUM(D31:D43)</f>
        <v>208000.60505615087</v>
      </c>
      <c r="E44" s="39">
        <v>1</v>
      </c>
      <c r="F44" s="40">
        <f>1-C44/B44</f>
        <v>0.68479481743905457</v>
      </c>
      <c r="G44" s="17"/>
      <c r="H44" s="17"/>
      <c r="I44" s="17"/>
      <c r="J44" s="17"/>
      <c r="K44" s="17"/>
      <c r="L44" s="17"/>
      <c r="M44" s="16"/>
    </row>
    <row r="45" spans="1:13" ht="15" customHeight="1" x14ac:dyDescent="0.45">
      <c r="A45" s="16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6"/>
    </row>
    <row r="46" spans="1:13" ht="15" customHeight="1" x14ac:dyDescent="0.45">
      <c r="A46" s="16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6"/>
    </row>
    <row r="47" spans="1:13" ht="15" customHeight="1" x14ac:dyDescent="0.4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</row>
    <row r="48" spans="1:13" ht="6" customHeight="1" x14ac:dyDescent="0.4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0.75" customHeight="1" x14ac:dyDescent="0.45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6"/>
    </row>
    <row r="50" spans="1:13" ht="21.75" customHeight="1" x14ac:dyDescent="0.45">
      <c r="A50" s="147" t="s">
        <v>70</v>
      </c>
      <c r="B50" s="147"/>
      <c r="C50" s="147"/>
      <c r="D50" s="147"/>
      <c r="E50" s="147"/>
      <c r="F50" s="147"/>
      <c r="G50" s="148" t="s">
        <v>71</v>
      </c>
      <c r="H50" s="148"/>
      <c r="I50" s="148"/>
      <c r="J50" s="148"/>
      <c r="K50" s="148"/>
      <c r="L50" s="148"/>
      <c r="M50" s="16"/>
    </row>
    <row r="51" spans="1:13" ht="15" customHeight="1" x14ac:dyDescent="0.4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2" spans="1:13" ht="15" customHeight="1" x14ac:dyDescent="0.4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 spans="1:13" ht="15" customHeight="1" x14ac:dyDescent="0.4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</row>
    <row r="54" spans="1:13" ht="15" customHeight="1" x14ac:dyDescent="0.4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</row>
    <row r="55" spans="1:13" ht="15" customHeight="1" x14ac:dyDescent="0.4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</row>
    <row r="56" spans="1:13" ht="15" customHeight="1" x14ac:dyDescent="0.4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</row>
    <row r="57" spans="1:13" ht="15" customHeight="1" x14ac:dyDescent="0.4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8" spans="1:13" ht="15" customHeight="1" x14ac:dyDescent="0.4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 spans="1:13" ht="15" customHeight="1" x14ac:dyDescent="0.4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</row>
    <row r="60" spans="1:13" ht="15" customHeight="1" x14ac:dyDescent="0.4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</row>
    <row r="61" spans="1:13" ht="15" customHeight="1" x14ac:dyDescent="0.4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</row>
    <row r="62" spans="1:13" ht="15" customHeight="1" x14ac:dyDescent="0.4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spans="1:13" ht="15" customHeight="1" x14ac:dyDescent="0.4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</row>
    <row r="64" spans="1:13" ht="15" customHeight="1" x14ac:dyDescent="0.4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</row>
    <row r="65" spans="1:13" ht="15" customHeight="1" x14ac:dyDescent="0.4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</row>
    <row r="66" spans="1:13" ht="15" customHeight="1" x14ac:dyDescent="0.4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</row>
    <row r="67" spans="1:13" ht="15" customHeight="1" x14ac:dyDescent="0.4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</row>
    <row r="68" spans="1:13" ht="15" customHeight="1" x14ac:dyDescent="0.4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spans="1:13" ht="15" customHeight="1" x14ac:dyDescent="0.4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</row>
    <row r="70" spans="1:13" ht="15" customHeight="1" x14ac:dyDescent="0.4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</row>
    <row r="71" spans="1:13" ht="15" customHeight="1" x14ac:dyDescent="0.4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</row>
    <row r="72" spans="1:13" ht="15" customHeight="1" x14ac:dyDescent="0.4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 spans="1:13" ht="15" customHeight="1" x14ac:dyDescent="0.4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</row>
    <row r="74" spans="1:13" ht="15" customHeight="1" x14ac:dyDescent="0.4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</row>
    <row r="75" spans="1:13" ht="15" customHeight="1" x14ac:dyDescent="0.4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</row>
    <row r="76" spans="1:13" ht="15" customHeight="1" x14ac:dyDescent="0.4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</row>
    <row r="77" spans="1:13" ht="15" customHeight="1" x14ac:dyDescent="0.4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</row>
    <row r="78" spans="1:13" ht="15" customHeight="1" x14ac:dyDescent="0.4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</row>
    <row r="79" spans="1:13" ht="15" customHeight="1" x14ac:dyDescent="0.4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</row>
    <row r="80" spans="1:13" ht="15" customHeight="1" x14ac:dyDescent="0.4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</row>
  </sheetData>
  <mergeCells count="25">
    <mergeCell ref="A49:L49"/>
    <mergeCell ref="A50:F50"/>
    <mergeCell ref="G50:L50"/>
    <mergeCell ref="A11:L11"/>
    <mergeCell ref="A12:F12"/>
    <mergeCell ref="G12:L12"/>
    <mergeCell ref="A28:L28"/>
    <mergeCell ref="A29:F29"/>
    <mergeCell ref="G29:L29"/>
    <mergeCell ref="A8:C8"/>
    <mergeCell ref="D8:F8"/>
    <mergeCell ref="G8:I8"/>
    <mergeCell ref="J8:L8"/>
    <mergeCell ref="A9:C9"/>
    <mergeCell ref="D9:F9"/>
    <mergeCell ref="G9:I9"/>
    <mergeCell ref="J9:L9"/>
    <mergeCell ref="A2:I2"/>
    <mergeCell ref="J2:L2"/>
    <mergeCell ref="A3:I3"/>
    <mergeCell ref="J3:L3"/>
    <mergeCell ref="A7:C7"/>
    <mergeCell ref="D7:F7"/>
    <mergeCell ref="G7:I7"/>
    <mergeCell ref="J7:L7"/>
  </mergeCells>
  <printOptions horizontalCentered="1"/>
  <pageMargins left="0.75" right="0.75" top="1" bottom="1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A3FF"/>
  </sheetPr>
  <dimension ref="A1:H38"/>
  <sheetViews>
    <sheetView showGridLines="0" zoomScaleNormal="100" workbookViewId="0">
      <pane ySplit="3" topLeftCell="A4" activePane="bottomLeft" state="frozen"/>
      <selection pane="bottomLeft" activeCell="F15" sqref="F15"/>
    </sheetView>
  </sheetViews>
  <sheetFormatPr baseColWidth="10" defaultColWidth="9.06640625" defaultRowHeight="14.25" x14ac:dyDescent="0.45"/>
  <cols>
    <col min="1" max="1" width="42" customWidth="1"/>
    <col min="2" max="4" width="22" customWidth="1"/>
    <col min="5" max="6" width="14" customWidth="1"/>
  </cols>
  <sheetData>
    <row r="1" spans="1:8" ht="30" customHeight="1" x14ac:dyDescent="0.45">
      <c r="A1" s="156" t="s">
        <v>117</v>
      </c>
      <c r="B1" s="156"/>
      <c r="C1" s="156"/>
      <c r="D1" s="156"/>
      <c r="E1" s="156"/>
      <c r="F1" s="156"/>
      <c r="G1" s="16"/>
      <c r="H1" s="16"/>
    </row>
    <row r="2" spans="1:8" ht="21.75" customHeight="1" x14ac:dyDescent="0.45">
      <c r="A2" s="157" t="s">
        <v>118</v>
      </c>
      <c r="B2" s="157"/>
      <c r="C2" s="157"/>
      <c r="D2" s="157"/>
      <c r="E2" s="157"/>
      <c r="F2" s="157"/>
      <c r="G2" s="16"/>
      <c r="H2" s="16"/>
    </row>
    <row r="3" spans="1:8" ht="25.5" customHeight="1" x14ac:dyDescent="0.45">
      <c r="A3" s="42" t="s">
        <v>119</v>
      </c>
      <c r="B3" s="42" t="s">
        <v>120</v>
      </c>
      <c r="C3" s="42" t="s">
        <v>121</v>
      </c>
      <c r="D3" s="42" t="s">
        <v>122</v>
      </c>
      <c r="E3" s="42" t="s">
        <v>123</v>
      </c>
      <c r="F3" s="42"/>
      <c r="G3" s="16"/>
      <c r="H3" s="16"/>
    </row>
    <row r="4" spans="1:8" ht="21.75" customHeight="1" x14ac:dyDescent="0.45">
      <c r="A4" s="17"/>
      <c r="B4" s="43" t="s">
        <v>124</v>
      </c>
      <c r="C4" s="17"/>
      <c r="D4" s="17"/>
      <c r="E4" s="44" t="s">
        <v>125</v>
      </c>
      <c r="F4" s="45">
        <f>IF($B$4="Sí",1,0)</f>
        <v>0</v>
      </c>
      <c r="G4" s="16"/>
      <c r="H4" s="16"/>
    </row>
    <row r="5" spans="1:8" ht="21.75" customHeight="1" x14ac:dyDescent="0.45">
      <c r="A5" s="46" t="s">
        <v>126</v>
      </c>
      <c r="B5" s="43" t="s">
        <v>127</v>
      </c>
      <c r="C5" s="47" t="s">
        <v>128</v>
      </c>
      <c r="D5" s="17"/>
      <c r="E5" s="17"/>
      <c r="F5" s="17"/>
      <c r="G5" s="16"/>
      <c r="H5" s="16"/>
    </row>
    <row r="6" spans="1:8" ht="21.75" customHeight="1" x14ac:dyDescent="0.45">
      <c r="A6" s="17"/>
      <c r="B6" s="43" t="s">
        <v>67</v>
      </c>
      <c r="C6" s="17"/>
      <c r="D6" s="17"/>
      <c r="E6" s="17"/>
      <c r="F6" s="17"/>
      <c r="G6" s="16"/>
      <c r="H6" s="16"/>
    </row>
    <row r="7" spans="1:8" ht="21.75" customHeight="1" x14ac:dyDescent="0.45">
      <c r="A7" s="17"/>
      <c r="B7" s="17"/>
      <c r="C7" s="17"/>
      <c r="D7" s="17"/>
      <c r="E7" s="17"/>
      <c r="F7" s="17"/>
      <c r="G7" s="16"/>
      <c r="H7" s="16"/>
    </row>
    <row r="8" spans="1:8" ht="21.75" customHeight="1" x14ac:dyDescent="0.45">
      <c r="A8" s="17"/>
      <c r="B8" s="17"/>
      <c r="C8" s="17"/>
      <c r="D8" s="17"/>
      <c r="E8" s="17"/>
      <c r="F8" s="17"/>
      <c r="G8" s="16"/>
      <c r="H8" s="16"/>
    </row>
    <row r="9" spans="1:8" ht="21.75" customHeight="1" x14ac:dyDescent="0.45">
      <c r="A9" s="17"/>
      <c r="B9" s="17"/>
      <c r="C9" s="17"/>
      <c r="D9" s="17"/>
      <c r="E9" s="17"/>
      <c r="F9" s="17"/>
      <c r="G9" s="16"/>
      <c r="H9" s="16"/>
    </row>
    <row r="10" spans="1:8" ht="21.75" customHeight="1" x14ac:dyDescent="0.45">
      <c r="A10" s="46" t="s">
        <v>129</v>
      </c>
      <c r="B10" s="48">
        <f>IF(ResetOn=1, DEFAULTS!$B$4, C10)</f>
        <v>15</v>
      </c>
      <c r="C10" s="49">
        <f>DEFAULTS!$B$4</f>
        <v>15</v>
      </c>
      <c r="D10" s="50" t="s">
        <v>130</v>
      </c>
      <c r="E10" s="17"/>
      <c r="F10" s="17"/>
      <c r="G10" s="16"/>
      <c r="H10" s="16"/>
    </row>
    <row r="11" spans="1:8" ht="21.75" customHeight="1" x14ac:dyDescent="0.45">
      <c r="A11" s="17"/>
      <c r="B11" s="17"/>
      <c r="C11" s="17"/>
      <c r="D11" s="17"/>
      <c r="E11" s="17"/>
      <c r="F11" s="17"/>
      <c r="G11" s="16"/>
      <c r="H11" s="16"/>
    </row>
    <row r="12" spans="1:8" ht="21.75" customHeight="1" x14ac:dyDescent="0.45">
      <c r="A12" s="17"/>
      <c r="B12" s="17"/>
      <c r="C12" s="17"/>
      <c r="D12" s="17"/>
      <c r="E12" s="17"/>
      <c r="F12" s="17"/>
      <c r="G12" s="16"/>
      <c r="H12" s="16"/>
    </row>
    <row r="13" spans="1:8" ht="21.75" customHeight="1" x14ac:dyDescent="0.45">
      <c r="A13" s="17"/>
      <c r="B13" s="17"/>
      <c r="C13" s="17"/>
      <c r="D13" s="17"/>
      <c r="E13" s="17"/>
      <c r="F13" s="17"/>
      <c r="G13" s="16"/>
      <c r="H13" s="16"/>
    </row>
    <row r="14" spans="1:8" ht="21.75" customHeight="1" x14ac:dyDescent="0.45">
      <c r="A14" s="46" t="s">
        <v>131</v>
      </c>
      <c r="B14" s="51">
        <f>IF(ResetOn=1, DEFAULTS!$B$5, IF(ScenarioSel="(Manual)", C14, IFERROR(INDEX(SCEN_WACC, MATCH(ScenarioSel, SCEN_NAMES,0)), C14)))</f>
        <v>0.08</v>
      </c>
      <c r="C14" s="52">
        <f>DEFAULTS!$B$5</f>
        <v>0.08</v>
      </c>
      <c r="D14" s="50" t="s">
        <v>132</v>
      </c>
      <c r="E14" s="17"/>
      <c r="F14" s="17"/>
      <c r="G14" s="16"/>
      <c r="H14" s="16"/>
    </row>
    <row r="15" spans="1:8" ht="21.75" customHeight="1" x14ac:dyDescent="0.45">
      <c r="A15" s="46" t="s">
        <v>133</v>
      </c>
      <c r="B15" s="51">
        <f>IF(ResetOn=1, DEFAULTS!$B$6, C15)</f>
        <v>0</v>
      </c>
      <c r="C15" s="52">
        <f>DEFAULTS!$B$6</f>
        <v>0</v>
      </c>
      <c r="D15" s="50" t="s">
        <v>132</v>
      </c>
      <c r="E15" s="17"/>
      <c r="F15" s="17"/>
      <c r="G15" s="16"/>
      <c r="H15" s="16"/>
    </row>
    <row r="16" spans="1:8" ht="21.75" customHeight="1" x14ac:dyDescent="0.45">
      <c r="A16" s="46" t="s">
        <v>134</v>
      </c>
      <c r="B16" s="51">
        <f>IF(ResetOn=1, DEFAULTS!$B$7, IF(ScenarioSel="(Manual)", C16, IFERROR(INDEX(SCEN_VALRES, MATCH(ScenarioSel, SCEN_NAMES,0)), C16)))</f>
        <v>0</v>
      </c>
      <c r="C16" s="52">
        <f>DEFAULTS!$B$7</f>
        <v>0</v>
      </c>
      <c r="D16" s="50" t="s">
        <v>132</v>
      </c>
      <c r="E16" s="17"/>
      <c r="F16" s="17"/>
      <c r="G16" s="16"/>
      <c r="H16" s="16"/>
    </row>
    <row r="17" spans="1:8" ht="21.75" customHeight="1" x14ac:dyDescent="0.45">
      <c r="A17" s="46" t="s">
        <v>135</v>
      </c>
      <c r="B17" s="51">
        <f>IF(ResetOn=1, DEFAULTS!$B$14, C17)</f>
        <v>0.08</v>
      </c>
      <c r="C17" s="52">
        <f>DEFAULTS!$B$14</f>
        <v>0.08</v>
      </c>
      <c r="D17" s="50" t="s">
        <v>132</v>
      </c>
      <c r="E17" s="17"/>
      <c r="F17" s="17"/>
      <c r="G17" s="16"/>
      <c r="H17" s="16"/>
    </row>
    <row r="18" spans="1:8" ht="21.75" customHeight="1" x14ac:dyDescent="0.45">
      <c r="A18" s="17"/>
      <c r="B18" s="17"/>
      <c r="C18" s="17"/>
      <c r="D18" s="17"/>
      <c r="E18" s="17"/>
      <c r="F18" s="17"/>
      <c r="G18" s="16"/>
      <c r="H18" s="16"/>
    </row>
    <row r="19" spans="1:8" ht="21.75" customHeight="1" x14ac:dyDescent="0.45">
      <c r="A19" s="17"/>
      <c r="B19" s="17"/>
      <c r="C19" s="17"/>
      <c r="D19" s="17"/>
      <c r="E19" s="17"/>
      <c r="F19" s="17"/>
      <c r="G19" s="16"/>
      <c r="H19" s="16"/>
    </row>
    <row r="20" spans="1:8" ht="21.75" customHeight="1" x14ac:dyDescent="0.45">
      <c r="A20" s="17"/>
      <c r="B20" s="17"/>
      <c r="C20" s="17"/>
      <c r="D20" s="17"/>
      <c r="E20" s="17"/>
      <c r="F20" s="17"/>
      <c r="G20" s="16"/>
      <c r="H20" s="16"/>
    </row>
    <row r="21" spans="1:8" ht="21.75" customHeight="1" x14ac:dyDescent="0.45">
      <c r="A21" s="46" t="s">
        <v>136</v>
      </c>
      <c r="B21" s="48">
        <f>IF(ResetOn=1, DEFAULTS!$B$8, C21)</f>
        <v>250</v>
      </c>
      <c r="C21" s="49">
        <f>DEFAULTS!$B$8</f>
        <v>250</v>
      </c>
      <c r="D21" s="50" t="s">
        <v>137</v>
      </c>
      <c r="E21" s="17"/>
      <c r="F21" s="17"/>
      <c r="G21" s="16"/>
      <c r="H21" s="16"/>
    </row>
    <row r="22" spans="1:8" ht="21.75" customHeight="1" x14ac:dyDescent="0.45">
      <c r="A22" s="46" t="s">
        <v>138</v>
      </c>
      <c r="B22" s="48">
        <f>IF(ResetOn=1, DEFAULTS!$B$9, C22)</f>
        <v>234.4</v>
      </c>
      <c r="C22" s="49">
        <f>DEFAULTS!$B$9</f>
        <v>234.4</v>
      </c>
      <c r="D22" s="50" t="s">
        <v>137</v>
      </c>
      <c r="E22" s="17"/>
      <c r="F22" s="17"/>
      <c r="G22" s="16"/>
      <c r="H22" s="16"/>
    </row>
    <row r="23" spans="1:8" ht="21.75" customHeight="1" x14ac:dyDescent="0.45">
      <c r="A23" s="46" t="s">
        <v>139</v>
      </c>
      <c r="B23" s="53">
        <f>IF(ResetOn=1, DEFAULTS!$B$10, C23)</f>
        <v>3</v>
      </c>
      <c r="C23" s="54">
        <f>DEFAULTS!$B$10</f>
        <v>3</v>
      </c>
      <c r="D23" s="50" t="s">
        <v>140</v>
      </c>
      <c r="E23" s="17"/>
      <c r="F23" s="17"/>
      <c r="G23" s="16"/>
      <c r="H23" s="16"/>
    </row>
    <row r="24" spans="1:8" ht="21.75" customHeight="1" x14ac:dyDescent="0.45">
      <c r="A24" s="46" t="s">
        <v>141</v>
      </c>
      <c r="B24" s="48">
        <f>IF(ResetOn=1, DEFAULTS!$B$11, C24)</f>
        <v>7920</v>
      </c>
      <c r="C24" s="49">
        <f>DEFAULTS!$B$11</f>
        <v>7920</v>
      </c>
      <c r="D24" s="50" t="s">
        <v>142</v>
      </c>
      <c r="E24" s="17"/>
      <c r="F24" s="17"/>
      <c r="G24" s="16"/>
      <c r="H24" s="16"/>
    </row>
    <row r="25" spans="1:8" ht="21.75" customHeight="1" x14ac:dyDescent="0.45">
      <c r="A25" s="46" t="s">
        <v>143</v>
      </c>
      <c r="B25" s="55">
        <f>IF(ResetOn=1, DEFAULTS!$B$12, C25)</f>
        <v>0.104651162790698</v>
      </c>
      <c r="C25" s="56">
        <f>DEFAULTS!$B$12</f>
        <v>0.104651162790698</v>
      </c>
      <c r="D25" s="50" t="s">
        <v>144</v>
      </c>
      <c r="E25" s="17"/>
      <c r="F25" s="17"/>
      <c r="G25" s="16"/>
      <c r="H25" s="16"/>
    </row>
    <row r="26" spans="1:8" ht="21.75" customHeight="1" x14ac:dyDescent="0.45">
      <c r="A26" s="46" t="s">
        <v>145</v>
      </c>
      <c r="B26" s="51">
        <f>IF(ResetOn=1, DEFAULTS!$B$13, IF(ScenarioSel="(Manual)", C26, IFERROR(INDEX(SCEN_ESCALO, MATCH(ScenarioSel, SCEN_NAMES,0)), C26)))</f>
        <v>0.05</v>
      </c>
      <c r="C26" s="52">
        <f>DEFAULTS!$B$13</f>
        <v>0.05</v>
      </c>
      <c r="D26" s="50" t="s">
        <v>132</v>
      </c>
      <c r="E26" s="17"/>
      <c r="F26" s="17"/>
      <c r="G26" s="16"/>
      <c r="H26" s="16"/>
    </row>
    <row r="27" spans="1:8" ht="21.75" customHeight="1" x14ac:dyDescent="0.45">
      <c r="A27" s="46" t="s">
        <v>146</v>
      </c>
      <c r="B27" s="51">
        <f>IF(ResetOn=1, DEFAULTS!$B$15, C27)</f>
        <v>0.79</v>
      </c>
      <c r="C27" s="52">
        <f>DEFAULTS!$B$15</f>
        <v>0.79</v>
      </c>
      <c r="D27" s="50" t="s">
        <v>132</v>
      </c>
      <c r="E27" s="17"/>
      <c r="F27" s="17"/>
      <c r="G27" s="16"/>
      <c r="H27" s="16"/>
    </row>
    <row r="28" spans="1:8" ht="21.75" customHeight="1" x14ac:dyDescent="0.45">
      <c r="A28" s="46" t="s">
        <v>147</v>
      </c>
      <c r="B28" s="57">
        <f>B38</f>
        <v>8.8593544262257573E-2</v>
      </c>
      <c r="C28" s="56">
        <f>DEFAULTS!$B$16</f>
        <v>8.8593576965669996E-2</v>
      </c>
      <c r="D28" s="50" t="s">
        <v>148</v>
      </c>
      <c r="E28" s="17"/>
      <c r="F28" s="17"/>
      <c r="G28" s="16"/>
      <c r="H28" s="16"/>
    </row>
    <row r="29" spans="1:8" ht="21.75" customHeight="1" x14ac:dyDescent="0.45">
      <c r="A29" s="17"/>
      <c r="B29" s="17"/>
      <c r="C29" s="17"/>
      <c r="D29" s="17"/>
      <c r="E29" s="17"/>
      <c r="F29" s="17"/>
      <c r="G29" s="16"/>
      <c r="H29" s="16"/>
    </row>
    <row r="30" spans="1:8" ht="21.75" customHeight="1" x14ac:dyDescent="0.45">
      <c r="A30" s="17"/>
      <c r="B30" s="17"/>
      <c r="C30" s="17"/>
      <c r="D30" s="17"/>
      <c r="E30" s="17"/>
      <c r="F30" s="17"/>
      <c r="G30" s="16"/>
      <c r="H30" s="16"/>
    </row>
    <row r="31" spans="1:8" ht="21.75" customHeight="1" x14ac:dyDescent="0.45">
      <c r="A31" s="17"/>
      <c r="B31" s="17"/>
      <c r="C31" s="17"/>
      <c r="D31" s="17"/>
      <c r="E31" s="17"/>
      <c r="F31" s="17"/>
      <c r="G31" s="16"/>
      <c r="H31" s="16"/>
    </row>
    <row r="32" spans="1:8" ht="21.75" customHeight="1" x14ac:dyDescent="0.45">
      <c r="A32" s="46" t="s">
        <v>149</v>
      </c>
      <c r="B32" s="53">
        <f>IF(ResetOn=1, 1, IF(ScenarioSel="(Manual)", C32, IFERROR(INDEX(SCEN_CAPEX_MULT, MATCH(ScenarioSel, SCEN_NAMES,0)), C32)))</f>
        <v>1</v>
      </c>
      <c r="C32" s="54">
        <f>1</f>
        <v>1</v>
      </c>
      <c r="D32" s="50" t="s">
        <v>150</v>
      </c>
      <c r="E32" s="17"/>
      <c r="F32" s="17"/>
      <c r="G32" s="16"/>
      <c r="H32" s="16"/>
    </row>
    <row r="33" spans="1:8" ht="25.5" customHeight="1" x14ac:dyDescent="0.45">
      <c r="A33" s="58" t="s">
        <v>151</v>
      </c>
      <c r="B33" s="59"/>
      <c r="C33" s="59"/>
      <c r="D33" s="59"/>
      <c r="E33" s="59"/>
      <c r="F33" s="59"/>
      <c r="G33" s="16"/>
      <c r="H33" s="16"/>
    </row>
    <row r="34" spans="1:8" ht="24" customHeight="1" x14ac:dyDescent="0.45">
      <c r="A34" s="46" t="s">
        <v>152</v>
      </c>
      <c r="B34" s="60">
        <v>4000</v>
      </c>
      <c r="C34" s="61">
        <v>4000</v>
      </c>
      <c r="D34" s="50" t="s">
        <v>153</v>
      </c>
      <c r="E34" s="16"/>
      <c r="F34" s="16"/>
      <c r="G34" s="16"/>
      <c r="H34" s="16"/>
    </row>
    <row r="35" spans="1:8" ht="24" customHeight="1" x14ac:dyDescent="0.45">
      <c r="A35" s="46" t="s">
        <v>154</v>
      </c>
      <c r="B35" s="62">
        <v>4277.37</v>
      </c>
      <c r="C35" s="54">
        <v>4277.37</v>
      </c>
      <c r="D35" s="50" t="s">
        <v>155</v>
      </c>
      <c r="E35" s="16"/>
      <c r="F35" s="16"/>
      <c r="G35" s="16"/>
      <c r="H35" s="16"/>
    </row>
    <row r="36" spans="1:8" ht="24" customHeight="1" x14ac:dyDescent="0.45">
      <c r="A36" s="46" t="s">
        <v>156</v>
      </c>
      <c r="B36" s="63">
        <v>38</v>
      </c>
      <c r="C36" s="64">
        <v>38</v>
      </c>
      <c r="D36" s="50" t="s">
        <v>157</v>
      </c>
    </row>
    <row r="37" spans="1:8" ht="21.75" customHeight="1" x14ac:dyDescent="0.45">
      <c r="A37" s="65" t="s">
        <v>158</v>
      </c>
      <c r="B37" s="66">
        <f>B34/B35</f>
        <v>0.93515407832382991</v>
      </c>
      <c r="D37" s="50" t="s">
        <v>159</v>
      </c>
    </row>
    <row r="38" spans="1:8" ht="21.75" customHeight="1" x14ac:dyDescent="0.45">
      <c r="A38" s="65" t="s">
        <v>160</v>
      </c>
      <c r="B38" s="67">
        <f>B34/B35*3.6/B36</f>
        <v>8.8593544262257573E-2</v>
      </c>
      <c r="D38" s="50" t="s">
        <v>161</v>
      </c>
    </row>
  </sheetData>
  <mergeCells count="2">
    <mergeCell ref="A1:F1"/>
    <mergeCell ref="A2:F2"/>
  </mergeCells>
  <dataValidations count="2">
    <dataValidation type="list" allowBlank="1" showInputMessage="1" showErrorMessage="1" sqref="B4" xr:uid="{00000000-0002-0000-0400-000000000000}">
      <formula1>"No,Sí"</formula1>
      <formula2>0</formula2>
    </dataValidation>
    <dataValidation type="list" allowBlank="1" showInputMessage="1" showErrorMessage="1" sqref="B6" xr:uid="{00000000-0002-0000-0400-000001000000}">
      <formula1>"(Manual),Pesimista,Base,Optimista"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87171"/>
  </sheetPr>
  <dimension ref="A1:H42"/>
  <sheetViews>
    <sheetView showGridLines="0" zoomScaleNormal="100" workbookViewId="0">
      <pane ySplit="1" topLeftCell="A2" activePane="bottomLeft" state="frozen"/>
      <selection pane="bottomLeft" activeCell="C11" sqref="C11"/>
    </sheetView>
  </sheetViews>
  <sheetFormatPr baseColWidth="10" defaultColWidth="9.06640625" defaultRowHeight="14.25" x14ac:dyDescent="0.45"/>
  <cols>
    <col min="1" max="1" width="45" customWidth="1"/>
    <col min="2" max="5" width="12" customWidth="1"/>
    <col min="6" max="7" width="14" customWidth="1"/>
  </cols>
  <sheetData>
    <row r="1" spans="1:8" ht="30" customHeight="1" x14ac:dyDescent="0.45">
      <c r="A1" s="22" t="s">
        <v>110</v>
      </c>
      <c r="B1" s="22" t="s">
        <v>162</v>
      </c>
      <c r="C1" s="22" t="s">
        <v>163</v>
      </c>
      <c r="D1" s="22" t="s">
        <v>164</v>
      </c>
      <c r="E1" s="22" t="s">
        <v>165</v>
      </c>
      <c r="F1" s="22" t="s">
        <v>166</v>
      </c>
      <c r="G1" s="22" t="s">
        <v>167</v>
      </c>
      <c r="H1" s="16"/>
    </row>
    <row r="2" spans="1:8" ht="24" customHeight="1" x14ac:dyDescent="0.45">
      <c r="A2" s="158" t="s">
        <v>168</v>
      </c>
      <c r="B2" s="158"/>
      <c r="C2" s="158"/>
      <c r="D2" s="158"/>
      <c r="E2" s="158"/>
      <c r="F2" s="158"/>
      <c r="G2" s="158"/>
      <c r="H2" s="16"/>
    </row>
    <row r="3" spans="1:8" ht="21.75" customHeight="1" x14ac:dyDescent="0.45">
      <c r="A3" s="68" t="s">
        <v>169</v>
      </c>
      <c r="B3" s="69">
        <v>1</v>
      </c>
      <c r="C3" s="36">
        <v>250000</v>
      </c>
      <c r="D3" s="36">
        <f>B3*C3</f>
        <v>250000</v>
      </c>
      <c r="E3" s="24">
        <f>D3/SUM(D3:D32)</f>
        <v>0.70209927683774487</v>
      </c>
      <c r="F3" s="38">
        <v>0</v>
      </c>
      <c r="G3" s="36">
        <f>D3*(1+F3)</f>
        <v>250000</v>
      </c>
      <c r="H3" s="16"/>
    </row>
    <row r="4" spans="1:8" ht="24" customHeight="1" x14ac:dyDescent="0.45">
      <c r="A4" s="158" t="s">
        <v>170</v>
      </c>
      <c r="B4" s="158"/>
      <c r="C4" s="158"/>
      <c r="D4" s="158"/>
      <c r="E4" s="158"/>
      <c r="F4" s="158"/>
      <c r="G4" s="158"/>
      <c r="H4" s="16"/>
    </row>
    <row r="5" spans="1:8" ht="21.75" customHeight="1" x14ac:dyDescent="0.45">
      <c r="A5" s="68" t="s">
        <v>171</v>
      </c>
      <c r="B5" s="69">
        <v>1</v>
      </c>
      <c r="C5" s="36">
        <v>10000</v>
      </c>
      <c r="D5" s="36">
        <f>B5*C5</f>
        <v>10000</v>
      </c>
      <c r="E5" s="24">
        <f>D5/SUM(D3:D32)</f>
        <v>2.8083971073509795E-2</v>
      </c>
      <c r="F5" s="38">
        <v>0</v>
      </c>
      <c r="G5" s="36">
        <f>D5*(1+F5)</f>
        <v>10000</v>
      </c>
      <c r="H5" s="16"/>
    </row>
    <row r="6" spans="1:8" ht="21.75" customHeight="1" x14ac:dyDescent="0.45">
      <c r="A6" s="68" t="s">
        <v>172</v>
      </c>
      <c r="B6" s="69">
        <v>0</v>
      </c>
      <c r="C6" s="36">
        <v>3500</v>
      </c>
      <c r="D6" s="36">
        <f>B6*C6</f>
        <v>0</v>
      </c>
      <c r="E6" s="24">
        <f>D6/SUM(D3:D32)</f>
        <v>0</v>
      </c>
      <c r="F6" s="38">
        <v>0</v>
      </c>
      <c r="G6" s="36">
        <f>D6*(1+F6)</f>
        <v>0</v>
      </c>
      <c r="H6" s="16"/>
    </row>
    <row r="7" spans="1:8" ht="24" customHeight="1" x14ac:dyDescent="0.45">
      <c r="A7" s="158" t="s">
        <v>173</v>
      </c>
      <c r="B7" s="158"/>
      <c r="C7" s="158"/>
      <c r="D7" s="158"/>
      <c r="E7" s="158"/>
      <c r="F7" s="158"/>
      <c r="G7" s="158"/>
      <c r="H7" s="16"/>
    </row>
    <row r="8" spans="1:8" ht="21.75" customHeight="1" x14ac:dyDescent="0.45">
      <c r="A8" s="68" t="s">
        <v>174</v>
      </c>
      <c r="B8" s="69">
        <v>1</v>
      </c>
      <c r="C8" s="36">
        <v>12000</v>
      </c>
      <c r="D8" s="36">
        <f>B8*C8</f>
        <v>12000</v>
      </c>
      <c r="E8" s="24">
        <f>D8/SUM(D3:D32)</f>
        <v>3.3700765288211754E-2</v>
      </c>
      <c r="F8" s="38">
        <v>0</v>
      </c>
      <c r="G8" s="36">
        <f>D8*(1+F8)</f>
        <v>12000</v>
      </c>
      <c r="H8" s="16"/>
    </row>
    <row r="9" spans="1:8" ht="21.75" customHeight="1" x14ac:dyDescent="0.45">
      <c r="A9" s="68" t="s">
        <v>175</v>
      </c>
      <c r="B9" s="69">
        <v>1</v>
      </c>
      <c r="C9" s="36">
        <v>10000</v>
      </c>
      <c r="D9" s="36">
        <f>B9*C9</f>
        <v>10000</v>
      </c>
      <c r="E9" s="24">
        <f>D9/SUM(D3:D32)</f>
        <v>2.8083971073509795E-2</v>
      </c>
      <c r="F9" s="38">
        <v>0</v>
      </c>
      <c r="G9" s="36">
        <f>D9*(1+F9)</f>
        <v>10000</v>
      </c>
      <c r="H9" s="16"/>
    </row>
    <row r="10" spans="1:8" ht="21.75" customHeight="1" x14ac:dyDescent="0.45">
      <c r="A10" s="68" t="s">
        <v>176</v>
      </c>
      <c r="B10" s="69">
        <v>1</v>
      </c>
      <c r="C10" s="36">
        <v>0</v>
      </c>
      <c r="D10" s="36">
        <f>B10*C10</f>
        <v>0</v>
      </c>
      <c r="E10" s="24">
        <f>D10/SUM(D3:D32)</f>
        <v>0</v>
      </c>
      <c r="F10" s="38">
        <v>0</v>
      </c>
      <c r="G10" s="36">
        <f>D10*(1+F10)</f>
        <v>0</v>
      </c>
      <c r="H10" s="16"/>
    </row>
    <row r="11" spans="1:8" ht="21.75" customHeight="1" x14ac:dyDescent="0.45">
      <c r="A11" s="68" t="s">
        <v>177</v>
      </c>
      <c r="B11" s="69">
        <v>1</v>
      </c>
      <c r="C11" s="36">
        <v>5000</v>
      </c>
      <c r="D11" s="36">
        <f>B11*C11</f>
        <v>5000</v>
      </c>
      <c r="E11" s="24">
        <f>D11/SUM(D3:D32)</f>
        <v>1.4041985536754897E-2</v>
      </c>
      <c r="F11" s="38">
        <v>0</v>
      </c>
      <c r="G11" s="36">
        <f>D11*(1+F11)</f>
        <v>5000</v>
      </c>
      <c r="H11" s="16"/>
    </row>
    <row r="12" spans="1:8" ht="24" customHeight="1" x14ac:dyDescent="0.45">
      <c r="A12" s="158" t="s">
        <v>178</v>
      </c>
      <c r="B12" s="158"/>
      <c r="C12" s="158"/>
      <c r="D12" s="158"/>
      <c r="E12" s="158"/>
      <c r="F12" s="158"/>
      <c r="G12" s="158"/>
      <c r="H12" s="16"/>
    </row>
    <row r="13" spans="1:8" ht="21.75" customHeight="1" x14ac:dyDescent="0.45">
      <c r="A13" s="68" t="s">
        <v>179</v>
      </c>
      <c r="B13" s="69">
        <v>150</v>
      </c>
      <c r="C13" s="36">
        <v>25</v>
      </c>
      <c r="D13" s="36">
        <f t="shared" ref="D13:D18" si="0">B13*C13</f>
        <v>3750</v>
      </c>
      <c r="E13" s="24">
        <f>D13/SUM(D3:D32)</f>
        <v>1.0531489152566173E-2</v>
      </c>
      <c r="F13" s="38">
        <v>0</v>
      </c>
      <c r="G13" s="36">
        <f t="shared" ref="G13:G18" si="1">D13*(1+F13)</f>
        <v>3750</v>
      </c>
      <c r="H13" s="16"/>
    </row>
    <row r="14" spans="1:8" ht="21.75" customHeight="1" x14ac:dyDescent="0.45">
      <c r="A14" s="68" t="s">
        <v>180</v>
      </c>
      <c r="B14" s="69">
        <v>150</v>
      </c>
      <c r="C14" s="36">
        <v>35</v>
      </c>
      <c r="D14" s="36">
        <f t="shared" si="0"/>
        <v>5250</v>
      </c>
      <c r="E14" s="24">
        <f>D14/SUM(D3:D32)</f>
        <v>1.4744084813592642E-2</v>
      </c>
      <c r="F14" s="38">
        <v>0</v>
      </c>
      <c r="G14" s="36">
        <f t="shared" si="1"/>
        <v>5250</v>
      </c>
      <c r="H14" s="16"/>
    </row>
    <row r="15" spans="1:8" ht="21.75" customHeight="1" x14ac:dyDescent="0.45">
      <c r="A15" s="68" t="s">
        <v>181</v>
      </c>
      <c r="B15" s="69">
        <v>4</v>
      </c>
      <c r="C15" s="36">
        <v>450</v>
      </c>
      <c r="D15" s="36">
        <f t="shared" si="0"/>
        <v>1800</v>
      </c>
      <c r="E15" s="24">
        <f>D15/SUM(D3:D32)</f>
        <v>5.0551147932317627E-3</v>
      </c>
      <c r="F15" s="38">
        <v>0</v>
      </c>
      <c r="G15" s="36">
        <f t="shared" si="1"/>
        <v>1800</v>
      </c>
      <c r="H15" s="16"/>
    </row>
    <row r="16" spans="1:8" ht="21.75" customHeight="1" x14ac:dyDescent="0.45">
      <c r="A16" s="68" t="s">
        <v>182</v>
      </c>
      <c r="B16" s="69">
        <v>4</v>
      </c>
      <c r="C16" s="36">
        <v>700</v>
      </c>
      <c r="D16" s="36">
        <f t="shared" si="0"/>
        <v>2800</v>
      </c>
      <c r="E16" s="24">
        <f>D16/SUM(D3:D32)</f>
        <v>7.8635119005827422E-3</v>
      </c>
      <c r="F16" s="38">
        <v>0</v>
      </c>
      <c r="G16" s="36">
        <f t="shared" si="1"/>
        <v>2800</v>
      </c>
      <c r="H16" s="16"/>
    </row>
    <row r="17" spans="1:8" ht="21.75" customHeight="1" x14ac:dyDescent="0.45">
      <c r="A17" s="68" t="s">
        <v>183</v>
      </c>
      <c r="B17" s="69">
        <v>1</v>
      </c>
      <c r="C17" s="36">
        <v>8000</v>
      </c>
      <c r="D17" s="36">
        <f t="shared" si="0"/>
        <v>8000</v>
      </c>
      <c r="E17" s="24">
        <f>D17/SUM(D3:D32)</f>
        <v>2.2467176858807836E-2</v>
      </c>
      <c r="F17" s="38">
        <v>0</v>
      </c>
      <c r="G17" s="36">
        <f t="shared" si="1"/>
        <v>8000</v>
      </c>
      <c r="H17" s="16"/>
    </row>
    <row r="18" spans="1:8" ht="21.75" customHeight="1" x14ac:dyDescent="0.45">
      <c r="A18" s="68" t="s">
        <v>184</v>
      </c>
      <c r="B18" s="69">
        <v>45</v>
      </c>
      <c r="C18" s="36">
        <v>55</v>
      </c>
      <c r="D18" s="36">
        <f t="shared" si="0"/>
        <v>2475</v>
      </c>
      <c r="E18" s="24">
        <f>D18/SUM(D3:D32)</f>
        <v>6.9507828406936744E-3</v>
      </c>
      <c r="F18" s="38">
        <v>0</v>
      </c>
      <c r="G18" s="36">
        <f t="shared" si="1"/>
        <v>2475</v>
      </c>
      <c r="H18" s="16"/>
    </row>
    <row r="19" spans="1:8" ht="24" customHeight="1" x14ac:dyDescent="0.45">
      <c r="A19" s="158" t="s">
        <v>185</v>
      </c>
      <c r="B19" s="158"/>
      <c r="C19" s="158"/>
      <c r="D19" s="158"/>
      <c r="E19" s="158"/>
      <c r="F19" s="158"/>
      <c r="G19" s="158"/>
      <c r="H19" s="16"/>
    </row>
    <row r="20" spans="1:8" ht="21.75" customHeight="1" x14ac:dyDescent="0.45">
      <c r="A20" s="68" t="s">
        <v>186</v>
      </c>
      <c r="B20" s="69">
        <v>0</v>
      </c>
      <c r="C20" s="36">
        <v>30</v>
      </c>
      <c r="D20" s="36">
        <f>B20*C20</f>
        <v>0</v>
      </c>
      <c r="E20" s="24">
        <f>D20/SUM(D3:D32)</f>
        <v>0</v>
      </c>
      <c r="F20" s="38">
        <v>0</v>
      </c>
      <c r="G20" s="36">
        <f>D20*(1+F20)</f>
        <v>0</v>
      </c>
      <c r="H20" s="16"/>
    </row>
    <row r="21" spans="1:8" ht="21.75" customHeight="1" x14ac:dyDescent="0.45">
      <c r="A21" s="68" t="s">
        <v>187</v>
      </c>
      <c r="B21" s="69">
        <v>0</v>
      </c>
      <c r="C21" s="36">
        <v>30</v>
      </c>
      <c r="D21" s="36">
        <f>B21*C21</f>
        <v>0</v>
      </c>
      <c r="E21" s="24">
        <f>D21/SUM(D3:D32)</f>
        <v>0</v>
      </c>
      <c r="F21" s="38">
        <v>0</v>
      </c>
      <c r="G21" s="36">
        <f>D21*(1+F21)</f>
        <v>0</v>
      </c>
      <c r="H21" s="16"/>
    </row>
    <row r="22" spans="1:8" ht="21.75" customHeight="1" x14ac:dyDescent="0.45">
      <c r="A22" s="68" t="s">
        <v>188</v>
      </c>
      <c r="B22" s="69">
        <v>0</v>
      </c>
      <c r="C22" s="36">
        <v>30</v>
      </c>
      <c r="D22" s="36">
        <f>B22*C22</f>
        <v>0</v>
      </c>
      <c r="E22" s="24">
        <f>D22/SUM(D3:D32)</f>
        <v>0</v>
      </c>
      <c r="F22" s="38">
        <v>0</v>
      </c>
      <c r="G22" s="36">
        <f>D22*(1+F22)</f>
        <v>0</v>
      </c>
      <c r="H22" s="16"/>
    </row>
    <row r="23" spans="1:8" ht="21.75" customHeight="1" x14ac:dyDescent="0.45">
      <c r="A23" s="68" t="s">
        <v>189</v>
      </c>
      <c r="B23" s="69">
        <v>1</v>
      </c>
      <c r="C23" s="36">
        <v>5000</v>
      </c>
      <c r="D23" s="36">
        <f>B23*C23</f>
        <v>5000</v>
      </c>
      <c r="E23" s="24">
        <f>D23/SUM(D3:D32)</f>
        <v>1.4041985536754897E-2</v>
      </c>
      <c r="F23" s="38">
        <v>0</v>
      </c>
      <c r="G23" s="36">
        <f>D23*(1+F23)</f>
        <v>5000</v>
      </c>
      <c r="H23" s="16"/>
    </row>
    <row r="24" spans="1:8" ht="24" customHeight="1" x14ac:dyDescent="0.45">
      <c r="A24" s="158" t="s">
        <v>190</v>
      </c>
      <c r="B24" s="158"/>
      <c r="C24" s="158"/>
      <c r="D24" s="158"/>
      <c r="E24" s="158"/>
      <c r="F24" s="158"/>
      <c r="G24" s="158"/>
      <c r="H24" s="16"/>
    </row>
    <row r="25" spans="1:8" ht="21.75" customHeight="1" x14ac:dyDescent="0.45">
      <c r="A25" s="68" t="s">
        <v>191</v>
      </c>
      <c r="B25" s="69">
        <v>1</v>
      </c>
      <c r="C25" s="36">
        <v>5000</v>
      </c>
      <c r="D25" s="36">
        <f>B25*C25</f>
        <v>5000</v>
      </c>
      <c r="E25" s="24">
        <f>D25/SUM(D3:D32)</f>
        <v>1.4041985536754897E-2</v>
      </c>
      <c r="F25" s="38">
        <v>0</v>
      </c>
      <c r="G25" s="36">
        <f>D25*(1+F25)</f>
        <v>5000</v>
      </c>
      <c r="H25" s="16"/>
    </row>
    <row r="26" spans="1:8" ht="21.75" customHeight="1" x14ac:dyDescent="0.45">
      <c r="A26" s="68" t="s">
        <v>192</v>
      </c>
      <c r="B26" s="69">
        <v>1</v>
      </c>
      <c r="C26" s="36">
        <v>15000</v>
      </c>
      <c r="D26" s="36">
        <f>B26*C26</f>
        <v>15000</v>
      </c>
      <c r="E26" s="24">
        <f>D26/SUM(D3:D32)</f>
        <v>4.2125956610264692E-2</v>
      </c>
      <c r="F26" s="38">
        <v>0</v>
      </c>
      <c r="G26" s="36">
        <f>D26*(1+F26)</f>
        <v>15000</v>
      </c>
      <c r="H26" s="16"/>
    </row>
    <row r="27" spans="1:8" ht="21.75" customHeight="1" x14ac:dyDescent="0.45">
      <c r="A27" s="68" t="s">
        <v>193</v>
      </c>
      <c r="B27" s="69">
        <v>1</v>
      </c>
      <c r="C27" s="36">
        <v>5000</v>
      </c>
      <c r="D27" s="36">
        <f>B27*C27</f>
        <v>5000</v>
      </c>
      <c r="E27" s="24">
        <f>D27/SUM(D3:D32)</f>
        <v>1.4041985536754897E-2</v>
      </c>
      <c r="F27" s="38">
        <v>0</v>
      </c>
      <c r="G27" s="36">
        <f>D27*(1+F27)</f>
        <v>5000</v>
      </c>
      <c r="H27" s="16"/>
    </row>
    <row r="28" spans="1:8" ht="21.75" customHeight="1" x14ac:dyDescent="0.45">
      <c r="A28" s="68" t="s">
        <v>194</v>
      </c>
      <c r="B28" s="69">
        <v>0</v>
      </c>
      <c r="C28" s="36">
        <v>8000</v>
      </c>
      <c r="D28" s="36">
        <f>B28*C28</f>
        <v>0</v>
      </c>
      <c r="E28" s="24">
        <f>D28/SUM(D3:D32)</f>
        <v>0</v>
      </c>
      <c r="F28" s="38">
        <v>0</v>
      </c>
      <c r="G28" s="36">
        <f>D28*(1+F28)</f>
        <v>0</v>
      </c>
      <c r="H28" s="16"/>
    </row>
    <row r="29" spans="1:8" ht="24" customHeight="1" x14ac:dyDescent="0.45">
      <c r="A29" s="158" t="s">
        <v>195</v>
      </c>
      <c r="B29" s="158"/>
      <c r="C29" s="158"/>
      <c r="D29" s="158"/>
      <c r="E29" s="158"/>
      <c r="F29" s="158"/>
      <c r="G29" s="158"/>
      <c r="H29" s="16"/>
    </row>
    <row r="30" spans="1:8" ht="21.75" customHeight="1" x14ac:dyDescent="0.45">
      <c r="A30" s="68" t="s">
        <v>196</v>
      </c>
      <c r="B30" s="69">
        <v>1</v>
      </c>
      <c r="C30" s="36">
        <v>15000</v>
      </c>
      <c r="D30" s="36">
        <f>B30*C30</f>
        <v>15000</v>
      </c>
      <c r="E30" s="24">
        <f>D30/SUM(D3:D32)</f>
        <v>4.2125956610264692E-2</v>
      </c>
      <c r="F30" s="38">
        <v>0</v>
      </c>
      <c r="G30" s="36">
        <f>D30*(1+F30)</f>
        <v>15000</v>
      </c>
      <c r="H30" s="16"/>
    </row>
    <row r="31" spans="1:8" ht="21.75" customHeight="1" x14ac:dyDescent="0.45">
      <c r="A31" s="68" t="s">
        <v>197</v>
      </c>
      <c r="B31" s="69">
        <v>0</v>
      </c>
      <c r="C31" s="36">
        <v>12000</v>
      </c>
      <c r="D31" s="36">
        <f>B31*C31</f>
        <v>0</v>
      </c>
      <c r="E31" s="24">
        <f>D31/SUM(D3:D32)</f>
        <v>0</v>
      </c>
      <c r="F31" s="38">
        <v>0</v>
      </c>
      <c r="G31" s="36">
        <f>D31*(1+F31)</f>
        <v>0</v>
      </c>
      <c r="H31" s="16"/>
    </row>
    <row r="32" spans="1:8" ht="21.75" customHeight="1" x14ac:dyDescent="0.45">
      <c r="A32" s="68" t="s">
        <v>198</v>
      </c>
      <c r="B32" s="69">
        <v>0</v>
      </c>
      <c r="C32" s="36">
        <v>10000</v>
      </c>
      <c r="D32" s="36">
        <f>B32*C32</f>
        <v>0</v>
      </c>
      <c r="E32" s="24">
        <f>D32/SUM(D3:D32)</f>
        <v>0</v>
      </c>
      <c r="F32" s="38">
        <v>0</v>
      </c>
      <c r="G32" s="36">
        <f>D32*(1+F32)</f>
        <v>0</v>
      </c>
      <c r="H32" s="16"/>
    </row>
    <row r="33" spans="1:8" ht="14.25" customHeight="1" x14ac:dyDescent="0.45">
      <c r="A33" s="16"/>
      <c r="B33" s="16"/>
      <c r="C33" s="16"/>
      <c r="D33" s="16"/>
      <c r="E33" s="16"/>
      <c r="F33" s="16"/>
      <c r="G33" s="16"/>
      <c r="H33" s="16"/>
    </row>
    <row r="34" spans="1:8" ht="25.5" customHeight="1" x14ac:dyDescent="0.45">
      <c r="A34" s="70" t="s">
        <v>199</v>
      </c>
      <c r="B34" s="71"/>
      <c r="C34" s="71"/>
      <c r="D34" s="71"/>
      <c r="E34" s="71"/>
      <c r="F34" s="71"/>
      <c r="G34" s="72">
        <f>SUM(G3:G32)</f>
        <v>356075</v>
      </c>
      <c r="H34" s="16"/>
    </row>
    <row r="35" spans="1:8" ht="25.5" customHeight="1" x14ac:dyDescent="0.45">
      <c r="A35" s="70" t="s">
        <v>200</v>
      </c>
      <c r="B35" s="71"/>
      <c r="C35" s="71"/>
      <c r="D35" s="71"/>
      <c r="E35" s="71"/>
      <c r="F35" s="73">
        <v>0.08</v>
      </c>
      <c r="G35" s="72">
        <f>G34*F35</f>
        <v>28486</v>
      </c>
      <c r="H35" s="16"/>
    </row>
    <row r="36" spans="1:8" ht="25.5" customHeight="1" x14ac:dyDescent="0.45">
      <c r="A36" s="70" t="s">
        <v>201</v>
      </c>
      <c r="B36" s="71"/>
      <c r="C36" s="71"/>
      <c r="D36" s="71"/>
      <c r="E36" s="71"/>
      <c r="F36" s="73">
        <v>0</v>
      </c>
      <c r="G36" s="72">
        <f>G34*F36</f>
        <v>0</v>
      </c>
      <c r="H36" s="16"/>
    </row>
    <row r="37" spans="1:8" ht="25.5" customHeight="1" x14ac:dyDescent="0.45">
      <c r="A37" s="70" t="s">
        <v>202</v>
      </c>
      <c r="B37" s="71"/>
      <c r="C37" s="71"/>
      <c r="D37" s="71"/>
      <c r="E37" s="71"/>
      <c r="F37" s="71"/>
      <c r="G37" s="72">
        <f>G34+G35+G36</f>
        <v>384561</v>
      </c>
      <c r="H37" s="16"/>
    </row>
    <row r="38" spans="1:8" ht="25.5" customHeight="1" x14ac:dyDescent="0.45">
      <c r="A38" s="70" t="s">
        <v>203</v>
      </c>
      <c r="B38" s="71"/>
      <c r="C38" s="71"/>
      <c r="D38" s="71"/>
      <c r="E38" s="71"/>
      <c r="F38" s="71"/>
      <c r="G38" s="72">
        <f>G37*CAPEX_MULT</f>
        <v>384561</v>
      </c>
      <c r="H38" s="16"/>
    </row>
    <row r="39" spans="1:8" ht="25.5" customHeight="1" x14ac:dyDescent="0.45">
      <c r="A39" s="70" t="s">
        <v>204</v>
      </c>
      <c r="B39" s="71"/>
      <c r="C39" s="71"/>
      <c r="D39" s="71"/>
      <c r="E39" s="71"/>
      <c r="F39" s="74" t="s">
        <v>205</v>
      </c>
      <c r="G39" s="75">
        <f>G37/CargaKW</f>
        <v>1538.2439999999999</v>
      </c>
      <c r="H39" s="16"/>
    </row>
    <row r="40" spans="1:8" ht="14.25" customHeight="1" x14ac:dyDescent="0.45">
      <c r="A40" s="16"/>
      <c r="B40" s="16"/>
      <c r="C40" s="16"/>
      <c r="D40" s="16"/>
      <c r="E40" s="16"/>
      <c r="F40" s="16"/>
      <c r="G40" s="16"/>
      <c r="H40" s="16"/>
    </row>
    <row r="41" spans="1:8" ht="14.25" customHeight="1" x14ac:dyDescent="0.45">
      <c r="A41" s="16"/>
      <c r="B41" s="16"/>
      <c r="C41" s="16"/>
      <c r="D41" s="16"/>
      <c r="E41" s="16"/>
      <c r="F41" s="16"/>
      <c r="G41" s="16"/>
      <c r="H41" s="16"/>
    </row>
    <row r="42" spans="1:8" ht="14.25" customHeight="1" x14ac:dyDescent="0.45">
      <c r="A42" s="16"/>
      <c r="B42" s="16"/>
      <c r="C42" s="16"/>
      <c r="D42" s="16"/>
      <c r="E42" s="16"/>
      <c r="F42" s="16"/>
      <c r="G42" s="16"/>
      <c r="H42" s="16"/>
    </row>
  </sheetData>
  <mergeCells count="7">
    <mergeCell ref="A24:G24"/>
    <mergeCell ref="A29:G29"/>
    <mergeCell ref="A2:G2"/>
    <mergeCell ref="A4:G4"/>
    <mergeCell ref="A7:G7"/>
    <mergeCell ref="A12:G12"/>
    <mergeCell ref="A19:G1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BBF24"/>
  </sheetPr>
  <dimension ref="A1:J20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9.06640625" defaultRowHeight="14.25" x14ac:dyDescent="0.45"/>
  <cols>
    <col min="1" max="1" width="38" customWidth="1"/>
    <col min="2" max="4" width="18" customWidth="1"/>
    <col min="5" max="5" width="30" customWidth="1"/>
    <col min="6" max="6" width="16" customWidth="1"/>
    <col min="7" max="7" width="14" customWidth="1"/>
    <col min="8" max="8" width="50" customWidth="1"/>
  </cols>
  <sheetData>
    <row r="1" spans="1:10" ht="30" customHeight="1" x14ac:dyDescent="0.45">
      <c r="A1" s="41" t="s">
        <v>206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4.25" customHeight="1" x14ac:dyDescent="0.4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0" ht="27.75" customHeight="1" x14ac:dyDescent="0.45">
      <c r="A3" s="76" t="s">
        <v>110</v>
      </c>
      <c r="B3" s="76" t="s">
        <v>207</v>
      </c>
      <c r="C3" s="76" t="s">
        <v>208</v>
      </c>
      <c r="D3" s="76" t="s">
        <v>209</v>
      </c>
      <c r="E3" s="76" t="s">
        <v>122</v>
      </c>
      <c r="F3" s="76" t="s">
        <v>210</v>
      </c>
      <c r="G3" s="77">
        <f>(CargaKW*HorasAnio)/(490*4000)</f>
        <v>1.010204081632653</v>
      </c>
      <c r="H3" s="76" t="s">
        <v>211</v>
      </c>
      <c r="I3" s="16"/>
      <c r="J3" s="16"/>
    </row>
    <row r="4" spans="1:10" ht="21.75" customHeight="1" x14ac:dyDescent="0.45">
      <c r="A4" s="68" t="s">
        <v>212</v>
      </c>
      <c r="B4" s="36">
        <f>(CargaKW_Real/EficCaldera)*HorasAnio*PrecioGas</f>
        <v>208188.99754250579</v>
      </c>
      <c r="C4" s="36">
        <f>(CargaKW_Real/COP)*HorasAnio*PrecioElec</f>
        <v>64759.81395348857</v>
      </c>
      <c r="D4" s="78" t="s">
        <v>213</v>
      </c>
      <c r="E4" s="79" t="s">
        <v>214</v>
      </c>
      <c r="F4" s="17"/>
      <c r="G4" s="17"/>
      <c r="H4" s="17"/>
      <c r="I4" s="16"/>
      <c r="J4" s="16"/>
    </row>
    <row r="5" spans="1:10" ht="21.75" customHeight="1" x14ac:dyDescent="0.45">
      <c r="A5" s="68" t="s">
        <v>215</v>
      </c>
      <c r="B5" s="36">
        <v>18000</v>
      </c>
      <c r="C5" s="36">
        <v>7500</v>
      </c>
      <c r="D5" s="78" t="s">
        <v>213</v>
      </c>
      <c r="E5" s="79" t="s">
        <v>216</v>
      </c>
      <c r="F5" s="17"/>
      <c r="G5" s="17"/>
      <c r="H5" s="17"/>
      <c r="I5" s="16"/>
      <c r="J5" s="16"/>
    </row>
    <row r="6" spans="1:10" ht="21.75" customHeight="1" x14ac:dyDescent="0.45">
      <c r="A6" s="68" t="s">
        <v>217</v>
      </c>
      <c r="B6" s="36">
        <v>12000</v>
      </c>
      <c r="C6" s="36">
        <v>3800</v>
      </c>
      <c r="D6" s="78" t="s">
        <v>213</v>
      </c>
      <c r="E6" s="79" t="s">
        <v>216</v>
      </c>
      <c r="F6" s="17"/>
      <c r="G6" s="17"/>
      <c r="H6" s="17"/>
      <c r="I6" s="16"/>
      <c r="J6" s="16"/>
    </row>
    <row r="7" spans="1:10" ht="21.75" customHeight="1" x14ac:dyDescent="0.45">
      <c r="A7" s="68" t="s">
        <v>218</v>
      </c>
      <c r="B7" s="36">
        <v>8500</v>
      </c>
      <c r="C7" s="36">
        <v>3200</v>
      </c>
      <c r="D7" s="78" t="s">
        <v>213</v>
      </c>
      <c r="E7" s="79" t="s">
        <v>216</v>
      </c>
      <c r="F7" s="17"/>
      <c r="G7" s="17"/>
      <c r="H7" s="17"/>
      <c r="I7" s="16"/>
      <c r="J7" s="16"/>
    </row>
    <row r="8" spans="1:10" ht="21.75" customHeight="1" x14ac:dyDescent="0.45">
      <c r="A8" s="68" t="s">
        <v>219</v>
      </c>
      <c r="B8" s="36">
        <v>6500</v>
      </c>
      <c r="C8" s="36">
        <v>0</v>
      </c>
      <c r="D8" s="78" t="s">
        <v>213</v>
      </c>
      <c r="E8" s="79" t="s">
        <v>216</v>
      </c>
      <c r="F8" s="17"/>
      <c r="G8" s="17"/>
      <c r="H8" s="17"/>
      <c r="I8" s="16"/>
      <c r="J8" s="16"/>
    </row>
    <row r="9" spans="1:10" ht="21.75" customHeight="1" x14ac:dyDescent="0.45">
      <c r="A9" s="68" t="s">
        <v>220</v>
      </c>
      <c r="B9" s="36">
        <v>15680</v>
      </c>
      <c r="C9" s="36">
        <v>2140</v>
      </c>
      <c r="D9" s="78" t="s">
        <v>213</v>
      </c>
      <c r="E9" s="79" t="s">
        <v>216</v>
      </c>
      <c r="F9" s="17"/>
      <c r="G9" s="17"/>
      <c r="H9" s="17"/>
      <c r="I9" s="16"/>
      <c r="J9" s="16"/>
    </row>
    <row r="10" spans="1:10" ht="21.75" customHeight="1" x14ac:dyDescent="0.45">
      <c r="A10" s="68" t="s">
        <v>221</v>
      </c>
      <c r="B10" s="36">
        <v>3200</v>
      </c>
      <c r="C10" s="36">
        <v>1800</v>
      </c>
      <c r="D10" s="78" t="s">
        <v>213</v>
      </c>
      <c r="E10" s="79" t="s">
        <v>216</v>
      </c>
      <c r="F10" s="17"/>
      <c r="G10" s="17"/>
      <c r="H10" s="17"/>
      <c r="I10" s="16"/>
      <c r="J10" s="16"/>
    </row>
    <row r="11" spans="1:10" ht="21.75" customHeight="1" x14ac:dyDescent="0.45">
      <c r="A11" s="68" t="s">
        <v>222</v>
      </c>
      <c r="B11" s="36">
        <f>(5000000*12*0.2)/4300</f>
        <v>2790.6976744186045</v>
      </c>
      <c r="C11" s="36">
        <f>0</f>
        <v>0</v>
      </c>
      <c r="D11" s="78" t="s">
        <v>213</v>
      </c>
      <c r="E11" s="79" t="s">
        <v>223</v>
      </c>
      <c r="F11" s="17"/>
      <c r="G11" s="17"/>
      <c r="H11" s="17"/>
      <c r="I11" s="16"/>
      <c r="J11" s="16"/>
    </row>
    <row r="12" spans="1:10" ht="21.75" customHeight="1" x14ac:dyDescent="0.45">
      <c r="A12" s="68" t="s">
        <v>224</v>
      </c>
      <c r="B12" s="36">
        <v>8000</v>
      </c>
      <c r="C12" s="36">
        <v>4000</v>
      </c>
      <c r="D12" s="78" t="s">
        <v>213</v>
      </c>
      <c r="E12" s="79" t="s">
        <v>216</v>
      </c>
      <c r="F12" s="17"/>
      <c r="G12" s="17"/>
      <c r="H12" s="17"/>
      <c r="I12" s="16"/>
      <c r="J12" s="16"/>
    </row>
    <row r="13" spans="1:10" ht="21.75" customHeight="1" x14ac:dyDescent="0.45">
      <c r="A13" s="68" t="s">
        <v>225</v>
      </c>
      <c r="B13" s="36">
        <v>4200</v>
      </c>
      <c r="C13" s="36">
        <v>2800</v>
      </c>
      <c r="D13" s="78" t="s">
        <v>213</v>
      </c>
      <c r="E13" s="79" t="s">
        <v>216</v>
      </c>
      <c r="F13" s="17"/>
      <c r="G13" s="17"/>
      <c r="H13" s="17"/>
      <c r="I13" s="16"/>
      <c r="J13" s="16"/>
    </row>
    <row r="14" spans="1:10" ht="21.75" customHeight="1" x14ac:dyDescent="0.45">
      <c r="A14" s="68" t="s">
        <v>226</v>
      </c>
      <c r="B14" s="36">
        <v>3500</v>
      </c>
      <c r="C14" s="36">
        <v>2100</v>
      </c>
      <c r="D14" s="78" t="s">
        <v>213</v>
      </c>
      <c r="E14" s="79" t="s">
        <v>216</v>
      </c>
      <c r="F14" s="17"/>
      <c r="G14" s="17"/>
      <c r="H14" s="17"/>
      <c r="I14" s="16"/>
      <c r="J14" s="16"/>
    </row>
    <row r="15" spans="1:10" ht="21.75" customHeight="1" x14ac:dyDescent="0.45">
      <c r="A15" s="68" t="s">
        <v>227</v>
      </c>
      <c r="B15" s="36">
        <f>(CargaKW_Real/EficCaldera)*HorasAnio/10.5*1.94*25/1000</f>
        <v>10854.45786618445</v>
      </c>
      <c r="C15" s="36">
        <f>(CargaKW_Real/COP)*HorasAnio*0.201*25/1000</f>
        <v>3109.5504000000001</v>
      </c>
      <c r="D15" s="78" t="s">
        <v>213</v>
      </c>
      <c r="E15" s="79" t="s">
        <v>228</v>
      </c>
      <c r="F15" s="17"/>
      <c r="G15" s="17"/>
      <c r="H15" s="17"/>
      <c r="I15" s="16"/>
      <c r="J15" s="16"/>
    </row>
    <row r="16" spans="1:10" ht="21.75" customHeight="1" x14ac:dyDescent="0.45">
      <c r="A16" s="68" t="s">
        <v>229</v>
      </c>
      <c r="B16" s="36">
        <v>1500</v>
      </c>
      <c r="C16" s="36">
        <v>250</v>
      </c>
      <c r="D16" s="78" t="s">
        <v>213</v>
      </c>
      <c r="E16" s="79" t="s">
        <v>216</v>
      </c>
      <c r="F16" s="17"/>
      <c r="G16" s="17"/>
      <c r="H16" s="17"/>
      <c r="I16" s="16"/>
      <c r="J16" s="16"/>
    </row>
    <row r="17" spans="1:10" ht="14.25" customHeight="1" x14ac:dyDescent="0.45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 spans="1:10" ht="14.25" customHeight="1" x14ac:dyDescent="0.45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 spans="1:10" ht="14.25" customHeight="1" x14ac:dyDescent="0.45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 spans="1:10" ht="14.25" customHeight="1" x14ac:dyDescent="0.45">
      <c r="A20" s="16"/>
      <c r="B20" s="16"/>
      <c r="C20" s="16"/>
      <c r="D20" s="16"/>
      <c r="E20" s="16"/>
      <c r="F20" s="16"/>
      <c r="G20" s="16"/>
      <c r="H20" s="16"/>
      <c r="I20" s="16"/>
      <c r="J20" s="16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BBF24"/>
  </sheetPr>
  <dimension ref="A1:F18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38" customWidth="1"/>
    <col min="2" max="5" width="18" customWidth="1"/>
  </cols>
  <sheetData>
    <row r="1" spans="1:6" ht="30" customHeight="1" x14ac:dyDescent="0.45">
      <c r="A1" s="22" t="s">
        <v>110</v>
      </c>
      <c r="B1" s="22" t="s">
        <v>230</v>
      </c>
      <c r="C1" s="22" t="s">
        <v>231</v>
      </c>
      <c r="D1" s="22" t="s">
        <v>232</v>
      </c>
      <c r="E1" s="22" t="s">
        <v>233</v>
      </c>
      <c r="F1" s="16"/>
    </row>
    <row r="2" spans="1:6" ht="21.75" customHeight="1" x14ac:dyDescent="0.45">
      <c r="A2" s="68" t="s">
        <v>212</v>
      </c>
      <c r="B2" s="36">
        <f>OPEX_FACTORES!B4</f>
        <v>208188.99754250579</v>
      </c>
      <c r="C2" s="36">
        <f>OPEX_FACTORES!C4</f>
        <v>64759.81395348857</v>
      </c>
      <c r="D2" s="37">
        <f t="shared" ref="D2:D14" si="0">B2-C2</f>
        <v>143429.18358901722</v>
      </c>
      <c r="E2" s="24">
        <v>0.05</v>
      </c>
      <c r="F2" s="16"/>
    </row>
    <row r="3" spans="1:6" ht="21.75" customHeight="1" x14ac:dyDescent="0.45">
      <c r="A3" s="68" t="s">
        <v>215</v>
      </c>
      <c r="B3" s="36">
        <f>OPEX_FACTORES!B5*OPEX_FACTORES!$G$3</f>
        <v>18183.673469387752</v>
      </c>
      <c r="C3" s="36">
        <f>OPEX_FACTORES!C5*OPEX_FACTORES!$G$3</f>
        <v>7576.5306122448974</v>
      </c>
      <c r="D3" s="37">
        <f t="shared" si="0"/>
        <v>10607.142857142855</v>
      </c>
      <c r="E3" s="24">
        <v>0.05</v>
      </c>
      <c r="F3" s="16"/>
    </row>
    <row r="4" spans="1:6" ht="21.75" customHeight="1" x14ac:dyDescent="0.45">
      <c r="A4" s="68" t="s">
        <v>217</v>
      </c>
      <c r="B4" s="36">
        <f>OPEX_FACTORES!B6*OPEX_FACTORES!$G$3</f>
        <v>12122.448979591836</v>
      </c>
      <c r="C4" s="36">
        <f>OPEX_FACTORES!C6*OPEX_FACTORES!$G$3</f>
        <v>3838.7755102040815</v>
      </c>
      <c r="D4" s="37">
        <f t="shared" si="0"/>
        <v>8283.6734693877552</v>
      </c>
      <c r="E4" s="24">
        <v>0.05</v>
      </c>
      <c r="F4" s="16"/>
    </row>
    <row r="5" spans="1:6" ht="21.75" customHeight="1" x14ac:dyDescent="0.45">
      <c r="A5" s="68" t="s">
        <v>218</v>
      </c>
      <c r="B5" s="36">
        <f>OPEX_FACTORES!B7*OPEX_FACTORES!$G$3</f>
        <v>8586.7346938775499</v>
      </c>
      <c r="C5" s="36">
        <f>OPEX_FACTORES!C7*OPEX_FACTORES!$G$3</f>
        <v>3232.6530612244896</v>
      </c>
      <c r="D5" s="37">
        <f t="shared" si="0"/>
        <v>5354.0816326530603</v>
      </c>
      <c r="E5" s="24">
        <v>0.05</v>
      </c>
      <c r="F5" s="16"/>
    </row>
    <row r="6" spans="1:6" ht="21.75" customHeight="1" x14ac:dyDescent="0.45">
      <c r="A6" s="68" t="s">
        <v>219</v>
      </c>
      <c r="B6" s="36">
        <f>OPEX_FACTORES!B8*OPEX_FACTORES!$G$3</f>
        <v>6566.3265306122439</v>
      </c>
      <c r="C6" s="36">
        <f>OPEX_FACTORES!C8*OPEX_FACTORES!$G$3</f>
        <v>0</v>
      </c>
      <c r="D6" s="37">
        <f t="shared" si="0"/>
        <v>6566.3265306122439</v>
      </c>
      <c r="E6" s="24">
        <v>0.05</v>
      </c>
      <c r="F6" s="16"/>
    </row>
    <row r="7" spans="1:6" ht="21.75" customHeight="1" x14ac:dyDescent="0.45">
      <c r="A7" s="68" t="s">
        <v>220</v>
      </c>
      <c r="B7" s="36">
        <f>OPEX_FACTORES!B9*OPEX_FACTORES!$G$3</f>
        <v>15839.999999999998</v>
      </c>
      <c r="C7" s="36">
        <f>OPEX_FACTORES!C9*OPEX_FACTORES!$G$3</f>
        <v>2161.8367346938771</v>
      </c>
      <c r="D7" s="37">
        <f t="shared" si="0"/>
        <v>13678.163265306121</v>
      </c>
      <c r="E7" s="24">
        <v>0.05</v>
      </c>
      <c r="F7" s="16"/>
    </row>
    <row r="8" spans="1:6" ht="21.75" customHeight="1" x14ac:dyDescent="0.45">
      <c r="A8" s="68" t="s">
        <v>221</v>
      </c>
      <c r="B8" s="36">
        <f>OPEX_FACTORES!B10*OPEX_FACTORES!$G$3</f>
        <v>3232.6530612244896</v>
      </c>
      <c r="C8" s="36">
        <f>OPEX_FACTORES!C10*OPEX_FACTORES!$G$3</f>
        <v>1818.3673469387754</v>
      </c>
      <c r="D8" s="37">
        <f t="shared" si="0"/>
        <v>1414.2857142857142</v>
      </c>
      <c r="E8" s="24">
        <v>0.05</v>
      </c>
      <c r="F8" s="16"/>
    </row>
    <row r="9" spans="1:6" ht="21.75" customHeight="1" x14ac:dyDescent="0.45">
      <c r="A9" s="68" t="s">
        <v>222</v>
      </c>
      <c r="B9" s="36">
        <f>OPEX_FACTORES!B11</f>
        <v>2790.6976744186045</v>
      </c>
      <c r="C9" s="36">
        <f>OPEX_FACTORES!C11</f>
        <v>0</v>
      </c>
      <c r="D9" s="37">
        <f t="shared" si="0"/>
        <v>2790.6976744186045</v>
      </c>
      <c r="E9" s="24">
        <v>0.05</v>
      </c>
      <c r="F9" s="16"/>
    </row>
    <row r="10" spans="1:6" ht="21.75" customHeight="1" x14ac:dyDescent="0.45">
      <c r="A10" s="68" t="s">
        <v>224</v>
      </c>
      <c r="B10" s="36">
        <f>OPEX_FACTORES!B12*OPEX_FACTORES!$G$3</f>
        <v>8081.6326530612241</v>
      </c>
      <c r="C10" s="36">
        <f>OPEX_FACTORES!C12*OPEX_FACTORES!$G$3</f>
        <v>4040.8163265306121</v>
      </c>
      <c r="D10" s="37">
        <f t="shared" si="0"/>
        <v>4040.8163265306121</v>
      </c>
      <c r="E10" s="24">
        <v>0.05</v>
      </c>
      <c r="F10" s="16"/>
    </row>
    <row r="11" spans="1:6" ht="21.75" customHeight="1" x14ac:dyDescent="0.45">
      <c r="A11" s="68" t="s">
        <v>225</v>
      </c>
      <c r="B11" s="36">
        <f>OPEX_FACTORES!B13*OPEX_FACTORES!$G$3</f>
        <v>4242.8571428571422</v>
      </c>
      <c r="C11" s="36">
        <f>OPEX_FACTORES!C13*OPEX_FACTORES!$G$3</f>
        <v>2828.5714285714284</v>
      </c>
      <c r="D11" s="37">
        <f t="shared" si="0"/>
        <v>1414.2857142857138</v>
      </c>
      <c r="E11" s="24">
        <v>0.05</v>
      </c>
      <c r="F11" s="16"/>
    </row>
    <row r="12" spans="1:6" ht="21.75" customHeight="1" x14ac:dyDescent="0.45">
      <c r="A12" s="68" t="s">
        <v>226</v>
      </c>
      <c r="B12" s="36">
        <f>OPEX_FACTORES!B14*OPEX_FACTORES!$G$3</f>
        <v>3535.7142857142853</v>
      </c>
      <c r="C12" s="36">
        <f>OPEX_FACTORES!C14*OPEX_FACTORES!$G$3</f>
        <v>2121.4285714285711</v>
      </c>
      <c r="D12" s="37">
        <f t="shared" si="0"/>
        <v>1414.2857142857142</v>
      </c>
      <c r="E12" s="24">
        <v>0.05</v>
      </c>
      <c r="F12" s="16"/>
    </row>
    <row r="13" spans="1:6" ht="21.75" customHeight="1" x14ac:dyDescent="0.45">
      <c r="A13" s="68" t="s">
        <v>227</v>
      </c>
      <c r="B13" s="36">
        <f>OPEX_FACTORES!B15</f>
        <v>10854.45786618445</v>
      </c>
      <c r="C13" s="36">
        <f>OPEX_FACTORES!C15</f>
        <v>3109.5504000000001</v>
      </c>
      <c r="D13" s="37">
        <f t="shared" si="0"/>
        <v>7744.9074661844497</v>
      </c>
      <c r="E13" s="24">
        <v>0.05</v>
      </c>
      <c r="F13" s="16"/>
    </row>
    <row r="14" spans="1:6" ht="21.75" customHeight="1" x14ac:dyDescent="0.45">
      <c r="A14" s="68" t="s">
        <v>229</v>
      </c>
      <c r="B14" s="36">
        <f>OPEX_FACTORES!B16*OPEX_FACTORES!$G$3</f>
        <v>1515.3061224489795</v>
      </c>
      <c r="C14" s="36">
        <f>OPEX_FACTORES!C16*OPEX_FACTORES!$G$3</f>
        <v>252.55102040816325</v>
      </c>
      <c r="D14" s="37">
        <f t="shared" si="0"/>
        <v>1262.7551020408164</v>
      </c>
      <c r="E14" s="24">
        <v>0.05</v>
      </c>
      <c r="F14" s="16"/>
    </row>
    <row r="15" spans="1:6" ht="27.75" customHeight="1" x14ac:dyDescent="0.45">
      <c r="A15" s="80" t="s">
        <v>234</v>
      </c>
      <c r="B15" s="71"/>
      <c r="C15" s="71"/>
      <c r="D15" s="81">
        <f>SUM(D2:D14)</f>
        <v>208000.60505615087</v>
      </c>
      <c r="E15" s="71"/>
      <c r="F15" s="16"/>
    </row>
    <row r="16" spans="1:6" ht="14.25" customHeight="1" x14ac:dyDescent="0.45">
      <c r="A16" s="16"/>
      <c r="B16" s="16"/>
      <c r="C16" s="16"/>
      <c r="D16" s="16"/>
      <c r="E16" s="16"/>
      <c r="F16" s="16"/>
    </row>
    <row r="17" spans="1:6" ht="14.25" customHeight="1" x14ac:dyDescent="0.45">
      <c r="A17" s="16"/>
      <c r="B17" s="16"/>
      <c r="C17" s="16"/>
      <c r="D17" s="16"/>
      <c r="E17" s="16"/>
      <c r="F17" s="16"/>
    </row>
    <row r="18" spans="1:6" ht="14.25" customHeight="1" x14ac:dyDescent="0.45">
      <c r="A18" s="16"/>
      <c r="B18" s="16"/>
      <c r="C18" s="16"/>
      <c r="D18" s="16"/>
      <c r="E18" s="16"/>
      <c r="F18" s="1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0B981"/>
  </sheetPr>
  <dimension ref="A1:R18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1" sqref="D21"/>
    </sheetView>
  </sheetViews>
  <sheetFormatPr baseColWidth="10" defaultColWidth="9.06640625" defaultRowHeight="14.25" x14ac:dyDescent="0.45"/>
  <cols>
    <col min="1" max="1" width="32" customWidth="1"/>
    <col min="2" max="17" width="11" customWidth="1"/>
  </cols>
  <sheetData>
    <row r="1" spans="1:18" ht="30" customHeight="1" x14ac:dyDescent="0.45">
      <c r="A1" s="41" t="s">
        <v>235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4.25" customHeight="1" x14ac:dyDescent="0.4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27.75" customHeight="1" x14ac:dyDescent="0.45">
      <c r="A3" s="42" t="s">
        <v>110</v>
      </c>
      <c r="B3" s="82">
        <v>0</v>
      </c>
      <c r="C3" s="82">
        <v>1</v>
      </c>
      <c r="D3" s="82">
        <v>2</v>
      </c>
      <c r="E3" s="82">
        <v>3</v>
      </c>
      <c r="F3" s="82">
        <v>4</v>
      </c>
      <c r="G3" s="82">
        <v>5</v>
      </c>
      <c r="H3" s="82">
        <v>6</v>
      </c>
      <c r="I3" s="82">
        <v>7</v>
      </c>
      <c r="J3" s="82">
        <v>8</v>
      </c>
      <c r="K3" s="82">
        <v>9</v>
      </c>
      <c r="L3" s="82">
        <v>10</v>
      </c>
      <c r="M3" s="82">
        <v>11</v>
      </c>
      <c r="N3" s="82">
        <v>12</v>
      </c>
      <c r="O3" s="82">
        <v>13</v>
      </c>
      <c r="P3" s="82">
        <v>14</v>
      </c>
      <c r="Q3" s="82">
        <v>15</v>
      </c>
      <c r="R3" s="16"/>
    </row>
    <row r="4" spans="1:18" ht="21.75" customHeight="1" x14ac:dyDescent="0.45">
      <c r="A4" s="46" t="s">
        <v>236</v>
      </c>
      <c r="B4" s="29">
        <f>-CAPEX_TOTAL</f>
        <v>-384561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16"/>
    </row>
    <row r="5" spans="1:18" ht="21.75" customHeight="1" x14ac:dyDescent="0.45">
      <c r="A5" s="46" t="s">
        <v>237</v>
      </c>
      <c r="B5" s="29">
        <v>0</v>
      </c>
      <c r="C5" s="29">
        <f>AhorroBase</f>
        <v>208000.60505615087</v>
      </c>
      <c r="D5" s="29">
        <f>CF_MODEL!C5*(1+EscOPEX)</f>
        <v>218400.63530895842</v>
      </c>
      <c r="E5" s="29">
        <f>CF_MODEL!D5*(1+EscOPEX)</f>
        <v>229320.66707440634</v>
      </c>
      <c r="F5" s="29">
        <f>CF_MODEL!E5*(1+EscOPEX)</f>
        <v>240786.70042812667</v>
      </c>
      <c r="G5" s="29">
        <f>CF_MODEL!F5*(1+EscOPEX)</f>
        <v>252826.03544953302</v>
      </c>
      <c r="H5" s="29">
        <f>CF_MODEL!G5*(1+EscOPEX)</f>
        <v>265467.33722200966</v>
      </c>
      <c r="I5" s="29">
        <f>CF_MODEL!H5*(1+EscOPEX)</f>
        <v>278740.70408311015</v>
      </c>
      <c r="J5" s="29">
        <f>CF_MODEL!I5*(1+EscOPEX)</f>
        <v>292677.73928726569</v>
      </c>
      <c r="K5" s="29">
        <f>CF_MODEL!J5*(1+EscOPEX)</f>
        <v>307311.62625162897</v>
      </c>
      <c r="L5" s="29">
        <f>CF_MODEL!K5*(1+EscOPEX)</f>
        <v>322677.20756421046</v>
      </c>
      <c r="M5" s="29">
        <f>CF_MODEL!L5*(1+EscOPEX)</f>
        <v>338811.06794242101</v>
      </c>
      <c r="N5" s="29">
        <f>CF_MODEL!M5*(1+EscOPEX)</f>
        <v>355751.62133954209</v>
      </c>
      <c r="O5" s="29">
        <f>CF_MODEL!N5*(1+EscOPEX)</f>
        <v>373539.20240651921</v>
      </c>
      <c r="P5" s="29">
        <f>CF_MODEL!O5*(1+EscOPEX)</f>
        <v>392216.16252684518</v>
      </c>
      <c r="Q5" s="29">
        <f>CF_MODEL!P5*(1+EscOPEX)</f>
        <v>411826.97065318743</v>
      </c>
      <c r="R5" s="16"/>
    </row>
    <row r="6" spans="1:18" ht="21.75" customHeight="1" x14ac:dyDescent="0.45">
      <c r="A6" s="46" t="s">
        <v>238</v>
      </c>
      <c r="B6" s="17"/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29">
        <f>CAPEX_TOTAL*ValorResidualPct</f>
        <v>0</v>
      </c>
      <c r="R6" s="16"/>
    </row>
    <row r="7" spans="1:18" ht="21.75" customHeight="1" x14ac:dyDescent="0.45">
      <c r="A7" s="83" t="s">
        <v>239</v>
      </c>
      <c r="B7" s="84">
        <f>CF_MODEL!B5+CF_MODEL!B6+CF_MODEL!B4</f>
        <v>-384561</v>
      </c>
      <c r="C7" s="84">
        <f>CF_MODEL!C5+CF_MODEL!C6+CF_MODEL!C4</f>
        <v>208000.60505615087</v>
      </c>
      <c r="D7" s="84">
        <f>CF_MODEL!D5+CF_MODEL!D6+CF_MODEL!D4</f>
        <v>218400.63530895842</v>
      </c>
      <c r="E7" s="84">
        <f>CF_MODEL!E5+CF_MODEL!E6+CF_MODEL!E4</f>
        <v>229320.66707440634</v>
      </c>
      <c r="F7" s="84">
        <f>CF_MODEL!F5+CF_MODEL!F6+CF_MODEL!F4</f>
        <v>240786.70042812667</v>
      </c>
      <c r="G7" s="84">
        <f>CF_MODEL!G5+CF_MODEL!G6+CF_MODEL!G4</f>
        <v>252826.03544953302</v>
      </c>
      <c r="H7" s="84">
        <f>CF_MODEL!H5+CF_MODEL!H6+CF_MODEL!H4</f>
        <v>265467.33722200966</v>
      </c>
      <c r="I7" s="84">
        <f>CF_MODEL!I5+CF_MODEL!I6+CF_MODEL!I4</f>
        <v>278740.70408311015</v>
      </c>
      <c r="J7" s="84">
        <f>CF_MODEL!J5+CF_MODEL!J6+CF_MODEL!J4</f>
        <v>292677.73928726569</v>
      </c>
      <c r="K7" s="84">
        <f>CF_MODEL!K5+CF_MODEL!K6+CF_MODEL!K4</f>
        <v>307311.62625162897</v>
      </c>
      <c r="L7" s="84">
        <f>CF_MODEL!L5+CF_MODEL!L6+CF_MODEL!L4</f>
        <v>322677.20756421046</v>
      </c>
      <c r="M7" s="84">
        <f>CF_MODEL!M5+CF_MODEL!M6+CF_MODEL!M4</f>
        <v>338811.06794242101</v>
      </c>
      <c r="N7" s="84">
        <f>CF_MODEL!N5+CF_MODEL!N6+CF_MODEL!N4</f>
        <v>355751.62133954209</v>
      </c>
      <c r="O7" s="84">
        <f>CF_MODEL!O5+CF_MODEL!O6+CF_MODEL!O4</f>
        <v>373539.20240651921</v>
      </c>
      <c r="P7" s="84">
        <f>CF_MODEL!P5+CF_MODEL!P6+CF_MODEL!P4</f>
        <v>392216.16252684518</v>
      </c>
      <c r="Q7" s="84">
        <f>CF_MODEL!Q5+CF_MODEL!Q6+CF_MODEL!Q4</f>
        <v>411826.97065318743</v>
      </c>
      <c r="R7" s="16"/>
    </row>
    <row r="8" spans="1:18" ht="21.75" customHeight="1" x14ac:dyDescent="0.4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6"/>
    </row>
    <row r="9" spans="1:18" ht="21.75" customHeight="1" x14ac:dyDescent="0.45">
      <c r="A9" s="46" t="s">
        <v>240</v>
      </c>
      <c r="B9" s="29">
        <f>CF_MODEL!B7</f>
        <v>-384561</v>
      </c>
      <c r="C9" s="29">
        <f>CF_MODEL!C7/(1+WACC)^1</f>
        <v>192593.15282976933</v>
      </c>
      <c r="D9" s="29">
        <f>CF_MODEL!D7/(1+WACC)^2</f>
        <v>187243.34302894238</v>
      </c>
      <c r="E9" s="29">
        <f>CF_MODEL!E7/(1+WACC)^3</f>
        <v>182042.1390559162</v>
      </c>
      <c r="F9" s="29">
        <f>CF_MODEL!F7/(1+WACC)^4</f>
        <v>176985.41297102964</v>
      </c>
      <c r="G9" s="29">
        <f>CF_MODEL!G7/(1+WACC)^5</f>
        <v>172069.15149961217</v>
      </c>
      <c r="H9" s="29">
        <f>CF_MODEL!H7/(1+WACC)^6</f>
        <v>167289.45284684512</v>
      </c>
      <c r="I9" s="29">
        <f>CF_MODEL!I7/(1+WACC)^7</f>
        <v>162642.52360109941</v>
      </c>
      <c r="J9" s="29">
        <f>CF_MODEL!J7/(1+WACC)^8</f>
        <v>158124.67572329112</v>
      </c>
      <c r="K9" s="29">
        <f>CF_MODEL!K7/(1+WACC)^9</f>
        <v>153732.32361986637</v>
      </c>
      <c r="L9" s="29">
        <f>CF_MODEL!L7/(1+WACC)^10</f>
        <v>149461.98129709231</v>
      </c>
      <c r="M9" s="29">
        <f>CF_MODEL!M7/(1+WACC)^11</f>
        <v>145310.25959439532</v>
      </c>
      <c r="N9" s="29">
        <f>CF_MODEL!N7/(1+WACC)^12</f>
        <v>141273.86349455098</v>
      </c>
      <c r="O9" s="29">
        <f>CF_MODEL!O7/(1+WACC)^13</f>
        <v>137349.58950859125</v>
      </c>
      <c r="P9" s="29">
        <f>CF_MODEL!P7/(1+WACC)^14</f>
        <v>133534.32313335259</v>
      </c>
      <c r="Q9" s="29">
        <f>CF_MODEL!Q7/(1+WACC)^15</f>
        <v>129825.03637964833</v>
      </c>
      <c r="R9" s="16"/>
    </row>
    <row r="10" spans="1:18" ht="21.75" customHeight="1" x14ac:dyDescent="0.45">
      <c r="A10" s="83" t="s">
        <v>241</v>
      </c>
      <c r="B10" s="85">
        <f>B9</f>
        <v>-384561</v>
      </c>
      <c r="C10" s="85">
        <f>CF_MODEL!B10+CF_MODEL!C9</f>
        <v>-191967.84717023067</v>
      </c>
      <c r="D10" s="85">
        <f>CF_MODEL!C10+CF_MODEL!D9</f>
        <v>-4724.5041412882856</v>
      </c>
      <c r="E10" s="85">
        <f>CF_MODEL!D10+CF_MODEL!E9</f>
        <v>177317.63491462791</v>
      </c>
      <c r="F10" s="85">
        <f>CF_MODEL!E10+CF_MODEL!F9</f>
        <v>354303.04788565752</v>
      </c>
      <c r="G10" s="85">
        <f>CF_MODEL!F10+CF_MODEL!G9</f>
        <v>526372.19938526966</v>
      </c>
      <c r="H10" s="85">
        <f>CF_MODEL!G10+CF_MODEL!H9</f>
        <v>693661.65223211481</v>
      </c>
      <c r="I10" s="85">
        <f>CF_MODEL!H10+CF_MODEL!I9</f>
        <v>856304.17583321419</v>
      </c>
      <c r="J10" s="85">
        <f>CF_MODEL!I10+CF_MODEL!J9</f>
        <v>1014428.8515565053</v>
      </c>
      <c r="K10" s="85">
        <f>CF_MODEL!J10+CF_MODEL!K9</f>
        <v>1168161.1751763716</v>
      </c>
      <c r="L10" s="85">
        <f>CF_MODEL!K10+CF_MODEL!L9</f>
        <v>1317623.1564734639</v>
      </c>
      <c r="M10" s="85">
        <f>CF_MODEL!L10+CF_MODEL!M9</f>
        <v>1462933.4160678592</v>
      </c>
      <c r="N10" s="85">
        <f>CF_MODEL!M10+CF_MODEL!N9</f>
        <v>1604207.2795624102</v>
      </c>
      <c r="O10" s="85">
        <f>CF_MODEL!N10+CF_MODEL!O9</f>
        <v>1741556.8690710014</v>
      </c>
      <c r="P10" s="85">
        <f>CF_MODEL!O10+CF_MODEL!P9</f>
        <v>1875091.1922043541</v>
      </c>
      <c r="Q10" s="85">
        <f>CF_MODEL!P10+CF_MODEL!Q9</f>
        <v>2004916.2285840025</v>
      </c>
      <c r="R10" s="16"/>
    </row>
    <row r="11" spans="1:18" ht="14.25" customHeight="1" x14ac:dyDescent="0.4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1:18" ht="14.25" customHeight="1" x14ac:dyDescent="0.4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spans="1:18" ht="30" customHeight="1" x14ac:dyDescent="0.45">
      <c r="A13" s="86" t="s">
        <v>242</v>
      </c>
      <c r="B13" s="87">
        <f>SUM(B9:Q9)</f>
        <v>2004916.2285840025</v>
      </c>
      <c r="C13" s="17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spans="1:18" ht="30" customHeight="1" x14ac:dyDescent="0.45">
      <c r="A14" s="86" t="s">
        <v>243</v>
      </c>
      <c r="B14" s="88">
        <f>IRR(B7:Q7)</f>
        <v>0.58980460137197621</v>
      </c>
      <c r="C14" s="17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spans="1:18" ht="30" customHeight="1" x14ac:dyDescent="0.45">
      <c r="A15" s="86" t="s">
        <v>244</v>
      </c>
      <c r="B15" s="89">
        <f>IFERROR(COUNTIF(B10:Q10,"&lt;0")-1+ABS(INDEX(B10:Q10,COUNTIF(B10:Q10,"&lt;0")))/INDEX(B9:Q9,COUNTIF(B10:Q10,"&lt;0")+1),"")</f>
        <v>2.0259528050251987</v>
      </c>
      <c r="C15" s="90" t="s">
        <v>245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1:18" ht="14.25" customHeight="1" x14ac:dyDescent="0.4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 spans="1:18" ht="14.25" customHeight="1" x14ac:dyDescent="0.4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1:18" ht="14.25" customHeight="1" x14ac:dyDescent="0.4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0B981"/>
  </sheetPr>
  <dimension ref="A1:D25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9.06640625" defaultRowHeight="14.25" x14ac:dyDescent="0.45"/>
  <cols>
    <col min="1" max="2" width="40" customWidth="1"/>
    <col min="3" max="3" width="30" customWidth="1"/>
  </cols>
  <sheetData>
    <row r="1" spans="1:4" ht="30" customHeight="1" x14ac:dyDescent="0.45">
      <c r="A1" s="41" t="s">
        <v>246</v>
      </c>
      <c r="B1" s="16"/>
      <c r="C1" s="16"/>
      <c r="D1" s="16"/>
    </row>
    <row r="2" spans="1:4" ht="25.5" customHeight="1" x14ac:dyDescent="0.45">
      <c r="A2" s="42" t="s">
        <v>247</v>
      </c>
      <c r="B2" s="42" t="s">
        <v>120</v>
      </c>
      <c r="C2" s="42" t="s">
        <v>122</v>
      </c>
      <c r="D2" s="16"/>
    </row>
    <row r="3" spans="1:4" ht="30" customHeight="1" x14ac:dyDescent="0.45">
      <c r="A3" s="86" t="s">
        <v>247</v>
      </c>
      <c r="B3" s="91" t="s">
        <v>120</v>
      </c>
      <c r="C3" s="17"/>
      <c r="D3" s="16"/>
    </row>
    <row r="4" spans="1:4" ht="30" customHeight="1" x14ac:dyDescent="0.45">
      <c r="A4" s="86" t="s">
        <v>248</v>
      </c>
      <c r="B4" s="92">
        <f>CF_MODEL!B13</f>
        <v>2004916.2285840025</v>
      </c>
      <c r="C4" s="17"/>
      <c r="D4" s="16"/>
    </row>
    <row r="5" spans="1:4" ht="30" customHeight="1" x14ac:dyDescent="0.45">
      <c r="A5" s="86" t="s">
        <v>249</v>
      </c>
      <c r="B5" s="88">
        <f>CF_MODEL!B14</f>
        <v>0.58980460137197621</v>
      </c>
      <c r="C5" s="17"/>
      <c r="D5" s="16"/>
    </row>
    <row r="6" spans="1:4" ht="30" customHeight="1" x14ac:dyDescent="0.45">
      <c r="A6" s="86" t="s">
        <v>250</v>
      </c>
      <c r="B6" s="93">
        <f>CF_MODEL!B15</f>
        <v>2.0259528050251987</v>
      </c>
      <c r="C6" s="17"/>
      <c r="D6" s="16"/>
    </row>
    <row r="7" spans="1:4" ht="30" customHeight="1" x14ac:dyDescent="0.45">
      <c r="A7" s="86" t="s">
        <v>135</v>
      </c>
      <c r="B7" s="88">
        <f>TIR_OBJ</f>
        <v>0.08</v>
      </c>
      <c r="C7" s="17"/>
      <c r="D7" s="16"/>
    </row>
    <row r="8" spans="1:4" ht="30" customHeight="1" x14ac:dyDescent="0.45">
      <c r="A8" s="86" t="s">
        <v>251</v>
      </c>
      <c r="B8" s="94">
        <f>IFERROR(B5/B7,0)</f>
        <v>7.3725575171497022</v>
      </c>
      <c r="C8" s="17"/>
      <c r="D8" s="16"/>
    </row>
    <row r="9" spans="1:4" ht="30" customHeight="1" x14ac:dyDescent="0.45">
      <c r="A9" s="17"/>
      <c r="B9" s="17"/>
      <c r="C9" s="17"/>
      <c r="D9" s="16"/>
    </row>
    <row r="10" spans="1:4" ht="25.5" customHeight="1" x14ac:dyDescent="0.45">
      <c r="A10" s="58" t="s">
        <v>252</v>
      </c>
      <c r="B10" s="59"/>
      <c r="C10" s="59"/>
      <c r="D10" s="16"/>
    </row>
    <row r="11" spans="1:4" ht="21.75" customHeight="1" x14ac:dyDescent="0.45">
      <c r="A11" s="95" t="s">
        <v>253</v>
      </c>
      <c r="B11" s="96">
        <f>CAPEX_BASE</f>
        <v>384561</v>
      </c>
      <c r="C11" s="17"/>
      <c r="D11" s="16"/>
    </row>
    <row r="12" spans="1:4" ht="21.75" customHeight="1" x14ac:dyDescent="0.45">
      <c r="A12" s="95" t="s">
        <v>254</v>
      </c>
      <c r="B12" s="96">
        <f>CAPEX_TOTAL</f>
        <v>384561</v>
      </c>
      <c r="C12" s="17"/>
      <c r="D12" s="16"/>
    </row>
    <row r="13" spans="1:4" ht="21.75" customHeight="1" x14ac:dyDescent="0.45">
      <c r="A13" s="95" t="s">
        <v>255</v>
      </c>
      <c r="B13" s="96">
        <f>AhorroBase</f>
        <v>208000.60505615087</v>
      </c>
      <c r="C13" s="17"/>
      <c r="D13" s="16"/>
    </row>
    <row r="14" spans="1:4" ht="21.75" customHeight="1" x14ac:dyDescent="0.45">
      <c r="A14" s="95" t="s">
        <v>256</v>
      </c>
      <c r="B14" s="97" t="str">
        <f>ScenarioSel</f>
        <v>Base</v>
      </c>
      <c r="C14" s="17"/>
      <c r="D14" s="16"/>
    </row>
    <row r="15" spans="1:4" ht="21.75" customHeight="1" x14ac:dyDescent="0.45">
      <c r="A15" s="95" t="s">
        <v>257</v>
      </c>
      <c r="B15" s="98">
        <f>CAPEX_MULT</f>
        <v>1</v>
      </c>
      <c r="C15" s="17"/>
      <c r="D15" s="16"/>
    </row>
    <row r="16" spans="1:4" ht="21.75" customHeight="1" x14ac:dyDescent="0.45">
      <c r="A16" s="95" t="s">
        <v>258</v>
      </c>
      <c r="B16" s="99">
        <f>CargaKW</f>
        <v>250</v>
      </c>
      <c r="C16" s="17"/>
      <c r="D16" s="16"/>
    </row>
    <row r="17" spans="1:4" ht="21.75" customHeight="1" x14ac:dyDescent="0.45">
      <c r="A17" s="95" t="s">
        <v>259</v>
      </c>
      <c r="B17" s="100">
        <f>CargaKW/COP</f>
        <v>83.333333333333329</v>
      </c>
      <c r="C17" s="17"/>
      <c r="D17" s="16"/>
    </row>
    <row r="18" spans="1:4" ht="21.75" customHeight="1" x14ac:dyDescent="0.45">
      <c r="A18" s="95" t="s">
        <v>141</v>
      </c>
      <c r="B18" s="101">
        <f>HorasAnio</f>
        <v>7920</v>
      </c>
      <c r="C18" s="17"/>
      <c r="D18" s="16"/>
    </row>
    <row r="19" spans="1:4" ht="21.75" customHeight="1" x14ac:dyDescent="0.45">
      <c r="A19" s="17"/>
      <c r="B19" s="17"/>
      <c r="C19" s="17"/>
      <c r="D19" s="16"/>
    </row>
    <row r="20" spans="1:4" ht="25.5" customHeight="1" x14ac:dyDescent="0.45">
      <c r="A20" s="102" t="s">
        <v>260</v>
      </c>
      <c r="B20" s="59"/>
      <c r="C20" s="59"/>
      <c r="D20" s="16"/>
    </row>
    <row r="21" spans="1:4" ht="21.75" customHeight="1" x14ac:dyDescent="0.45">
      <c r="A21" s="95" t="s">
        <v>261</v>
      </c>
      <c r="B21" s="103">
        <f>AhorroBase*((1-((1+EscOPEX)/(1+WACC))^Horizonte)/(WACC-EscOPEX))</f>
        <v>2389477.2285840055</v>
      </c>
      <c r="C21" s="90" t="s">
        <v>262</v>
      </c>
      <c r="D21" s="16"/>
    </row>
    <row r="22" spans="1:4" ht="21.75" customHeight="1" x14ac:dyDescent="0.45">
      <c r="A22" s="95" t="s">
        <v>263</v>
      </c>
      <c r="B22" s="103">
        <f>CAPEX_TOTAL/((1-((1+EscOPEX)/(1+WACC))^Horizonte)/(WACC-EscOPEX))</f>
        <v>33475.489836912799</v>
      </c>
      <c r="C22" s="17"/>
      <c r="D22" s="16"/>
    </row>
    <row r="23" spans="1:4" ht="14.25" customHeight="1" x14ac:dyDescent="0.45">
      <c r="A23" s="16"/>
      <c r="B23" s="16"/>
      <c r="C23" s="16"/>
      <c r="D23" s="16"/>
    </row>
    <row r="24" spans="1:4" ht="14.25" customHeight="1" x14ac:dyDescent="0.45">
      <c r="A24" s="16"/>
      <c r="B24" s="16"/>
      <c r="C24" s="16"/>
      <c r="D24" s="16"/>
    </row>
    <row r="25" spans="1:4" ht="14.25" customHeight="1" x14ac:dyDescent="0.45">
      <c r="A25" s="16"/>
      <c r="B25" s="16"/>
      <c r="C25" s="16"/>
      <c r="D25" s="16"/>
    </row>
  </sheetData>
  <conditionalFormatting sqref="B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78BFA"/>
  </sheetPr>
  <dimension ref="A1:AA35"/>
  <sheetViews>
    <sheetView showGridLines="0" zoomScaleNormal="100" workbookViewId="0"/>
  </sheetViews>
  <sheetFormatPr baseColWidth="10" defaultColWidth="9.06640625" defaultRowHeight="14.25" x14ac:dyDescent="0.45"/>
  <cols>
    <col min="1" max="1" width="32" customWidth="1"/>
    <col min="2" max="26" width="12" customWidth="1"/>
  </cols>
  <sheetData>
    <row r="1" spans="1:27" ht="30" customHeight="1" x14ac:dyDescent="0.45">
      <c r="A1" s="41" t="s">
        <v>264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15" customHeight="1" x14ac:dyDescent="0.55000000000000004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04">
        <f>INDICADORES!B4</f>
        <v>2004916.2285840025</v>
      </c>
      <c r="AA2" s="16"/>
    </row>
    <row r="3" spans="1:27" ht="27.75" customHeight="1" x14ac:dyDescent="0.45">
      <c r="A3" s="22" t="s">
        <v>265</v>
      </c>
      <c r="B3" s="22" t="s">
        <v>266</v>
      </c>
      <c r="C3" s="22" t="s">
        <v>267</v>
      </c>
      <c r="D3" s="22" t="s">
        <v>268</v>
      </c>
      <c r="E3" s="22" t="s">
        <v>269</v>
      </c>
      <c r="F3" s="22" t="s">
        <v>270</v>
      </c>
      <c r="G3" s="22" t="s">
        <v>271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21.75" customHeight="1" x14ac:dyDescent="0.45">
      <c r="A4" s="46" t="s">
        <v>24</v>
      </c>
      <c r="B4" s="105" t="s">
        <v>272</v>
      </c>
      <c r="C4" s="106">
        <v>0.75</v>
      </c>
      <c r="D4" s="106">
        <v>1</v>
      </c>
      <c r="E4" s="106">
        <v>1</v>
      </c>
      <c r="F4" s="106">
        <v>1</v>
      </c>
      <c r="G4" s="106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21.75" customHeight="1" x14ac:dyDescent="0.45">
      <c r="A5" s="46" t="s">
        <v>24</v>
      </c>
      <c r="B5" s="107" t="s">
        <v>273</v>
      </c>
      <c r="C5" s="106">
        <v>1.25</v>
      </c>
      <c r="D5" s="106">
        <v>1</v>
      </c>
      <c r="E5" s="106">
        <v>1</v>
      </c>
      <c r="F5" s="106">
        <v>1</v>
      </c>
      <c r="G5" s="106">
        <v>1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21.75" customHeight="1" x14ac:dyDescent="0.45">
      <c r="A6" s="46" t="s">
        <v>274</v>
      </c>
      <c r="B6" s="105" t="s">
        <v>272</v>
      </c>
      <c r="C6" s="106">
        <v>1</v>
      </c>
      <c r="D6" s="106">
        <v>0.75</v>
      </c>
      <c r="E6" s="106">
        <v>1</v>
      </c>
      <c r="F6" s="106">
        <v>1</v>
      </c>
      <c r="G6" s="106">
        <v>1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21.75" customHeight="1" x14ac:dyDescent="0.45">
      <c r="A7" s="46" t="s">
        <v>274</v>
      </c>
      <c r="B7" s="107" t="s">
        <v>273</v>
      </c>
      <c r="C7" s="106">
        <v>1</v>
      </c>
      <c r="D7" s="106">
        <v>1.25</v>
      </c>
      <c r="E7" s="106">
        <v>1</v>
      </c>
      <c r="F7" s="106">
        <v>1</v>
      </c>
      <c r="G7" s="106">
        <v>1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21.75" customHeight="1" x14ac:dyDescent="0.45">
      <c r="A8" s="46" t="s">
        <v>275</v>
      </c>
      <c r="B8" s="105" t="s">
        <v>272</v>
      </c>
      <c r="C8" s="106">
        <v>1</v>
      </c>
      <c r="D8" s="106">
        <v>1</v>
      </c>
      <c r="E8" s="106">
        <v>0.75</v>
      </c>
      <c r="F8" s="106">
        <v>1</v>
      </c>
      <c r="G8" s="106">
        <v>1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21.75" customHeight="1" x14ac:dyDescent="0.45">
      <c r="A9" s="46" t="s">
        <v>275</v>
      </c>
      <c r="B9" s="107" t="s">
        <v>273</v>
      </c>
      <c r="C9" s="106">
        <v>1</v>
      </c>
      <c r="D9" s="106">
        <v>1</v>
      </c>
      <c r="E9" s="106">
        <v>1.25</v>
      </c>
      <c r="F9" s="106">
        <v>1</v>
      </c>
      <c r="G9" s="106">
        <v>1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21.75" customHeight="1" x14ac:dyDescent="0.45">
      <c r="A10" s="46" t="s">
        <v>276</v>
      </c>
      <c r="B10" s="105" t="s">
        <v>272</v>
      </c>
      <c r="C10" s="106">
        <v>1</v>
      </c>
      <c r="D10" s="106">
        <v>1</v>
      </c>
      <c r="E10" s="106">
        <v>1</v>
      </c>
      <c r="F10" s="106">
        <v>0.75</v>
      </c>
      <c r="G10" s="106">
        <v>1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21.75" customHeight="1" x14ac:dyDescent="0.45">
      <c r="A11" s="46" t="s">
        <v>276</v>
      </c>
      <c r="B11" s="107" t="s">
        <v>273</v>
      </c>
      <c r="C11" s="106">
        <v>1</v>
      </c>
      <c r="D11" s="106">
        <v>1</v>
      </c>
      <c r="E11" s="106">
        <v>1</v>
      </c>
      <c r="F11" s="106">
        <v>1.25</v>
      </c>
      <c r="G11" s="106">
        <v>1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21.75" customHeight="1" x14ac:dyDescent="0.45">
      <c r="A12" s="46" t="s">
        <v>277</v>
      </c>
      <c r="B12" s="105" t="s">
        <v>272</v>
      </c>
      <c r="C12" s="106">
        <v>1</v>
      </c>
      <c r="D12" s="106">
        <v>1</v>
      </c>
      <c r="E12" s="106">
        <v>1</v>
      </c>
      <c r="F12" s="106">
        <v>1</v>
      </c>
      <c r="G12" s="106">
        <v>0.75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21.75" customHeight="1" x14ac:dyDescent="0.45">
      <c r="A13" s="46" t="s">
        <v>277</v>
      </c>
      <c r="B13" s="107" t="s">
        <v>273</v>
      </c>
      <c r="C13" s="106">
        <v>1</v>
      </c>
      <c r="D13" s="106">
        <v>1</v>
      </c>
      <c r="E13" s="106">
        <v>1</v>
      </c>
      <c r="F13" s="106">
        <v>1</v>
      </c>
      <c r="G13" s="106">
        <v>1.25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4.25" customHeight="1" x14ac:dyDescent="0.45">
      <c r="A14" s="108" t="s">
        <v>278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4.25" customHeight="1" x14ac:dyDescent="0.45">
      <c r="A15" s="109" t="s">
        <v>279</v>
      </c>
      <c r="B15" s="109">
        <v>0</v>
      </c>
      <c r="C15" s="109">
        <v>1</v>
      </c>
      <c r="D15" s="109">
        <v>2</v>
      </c>
      <c r="E15" s="109">
        <v>3</v>
      </c>
      <c r="F15" s="109">
        <v>4</v>
      </c>
      <c r="G15" s="109">
        <v>5</v>
      </c>
      <c r="H15" s="109">
        <v>6</v>
      </c>
      <c r="I15" s="109">
        <v>7</v>
      </c>
      <c r="J15" s="109">
        <v>8</v>
      </c>
      <c r="K15" s="109">
        <v>9</v>
      </c>
      <c r="L15" s="109">
        <v>10</v>
      </c>
      <c r="M15" s="109">
        <v>11</v>
      </c>
      <c r="N15" s="109">
        <v>12</v>
      </c>
      <c r="O15" s="109">
        <v>13</v>
      </c>
      <c r="P15" s="109">
        <v>14</v>
      </c>
      <c r="Q15" s="109">
        <v>15</v>
      </c>
      <c r="R15" s="16"/>
      <c r="S15" s="109" t="s">
        <v>280</v>
      </c>
      <c r="T15" s="109" t="s">
        <v>281</v>
      </c>
      <c r="U15" s="16"/>
      <c r="V15" s="16"/>
      <c r="W15" s="16"/>
      <c r="X15" s="16"/>
      <c r="Y15" s="16"/>
      <c r="Z15" s="16"/>
      <c r="AA15" s="16"/>
    </row>
    <row r="16" spans="1:27" ht="16.5" customHeight="1" x14ac:dyDescent="0.6">
      <c r="A16" s="16"/>
      <c r="B16" s="110">
        <f>-CAPEX_BASE*$C$4</f>
        <v>-288420.75</v>
      </c>
      <c r="C16" s="110">
        <f>AhorroBase*$D$4*$G$4</f>
        <v>208000.60505615087</v>
      </c>
      <c r="D16" s="110">
        <f>SENS!C16*(1+EscOPEX*$F$4)</f>
        <v>218400.63530895842</v>
      </c>
      <c r="E16" s="110">
        <f>SENS!D16*(1+EscOPEX*$F$4)</f>
        <v>229320.66707440634</v>
      </c>
      <c r="F16" s="110">
        <f>SENS!E16*(1+EscOPEX*$F$4)</f>
        <v>240786.70042812667</v>
      </c>
      <c r="G16" s="110">
        <f>SENS!F16*(1+EscOPEX*$F$4)</f>
        <v>252826.03544953302</v>
      </c>
      <c r="H16" s="110">
        <f>SENS!G16*(1+EscOPEX*$F$4)</f>
        <v>265467.33722200966</v>
      </c>
      <c r="I16" s="110">
        <f>SENS!H16*(1+EscOPEX*$F$4)</f>
        <v>278740.70408311015</v>
      </c>
      <c r="J16" s="110">
        <f>SENS!I16*(1+EscOPEX*$F$4)</f>
        <v>292677.73928726569</v>
      </c>
      <c r="K16" s="110">
        <f>SENS!J16*(1+EscOPEX*$F$4)</f>
        <v>307311.62625162897</v>
      </c>
      <c r="L16" s="110">
        <f>SENS!K16*(1+EscOPEX*$F$4)</f>
        <v>322677.20756421046</v>
      </c>
      <c r="M16" s="110">
        <f>SENS!L16*(1+EscOPEX*$F$4)</f>
        <v>338811.06794242101</v>
      </c>
      <c r="N16" s="110">
        <f>SENS!M16*(1+EscOPEX*$F$4)</f>
        <v>355751.62133954209</v>
      </c>
      <c r="O16" s="110">
        <f>SENS!N16*(1+EscOPEX*$F$4)</f>
        <v>373539.20240651921</v>
      </c>
      <c r="P16" s="110">
        <f>SENS!O16*(1+EscOPEX*$F$4)</f>
        <v>392216.16252684518</v>
      </c>
      <c r="Q16" s="110">
        <f>SENS!P16*(1+EscOPEX*$F$4) + CAPEX_BASE*ValorResidualPct*$C$4</f>
        <v>411826.97065318743</v>
      </c>
      <c r="R16" s="16"/>
      <c r="S16" s="111">
        <f t="shared" ref="S16:S25" si="0">IRR(B16:Q16)</f>
        <v>0.77088693598591185</v>
      </c>
      <c r="T16" s="112">
        <f>B16+C16/(1+WACC*$E$4)^1+D16/(1+WACC*$E$4)^2+E16/(1+WACC*$E$4)^3+F16/(1+WACC*$E$4)^4+G16/(1+WACC*$E$4)^5+H16/(1+WACC*$E$4)^6+I16/(1+WACC*$E$4)^7+J16/(1+WACC*$E$4)^8+K16/(1+WACC*$E$4)^9+L16/(1+WACC*$E$4)^10+M16/(1+WACC*$E$4)^11+N16/(1+WACC*$E$4)^12+O16/(1+WACC*$E$4)^13+P16/(1+WACC*$E$4)^14+Q16/(1+WACC*$E$4)^15</f>
        <v>2101056.4785840022</v>
      </c>
      <c r="U16" s="16"/>
      <c r="V16" s="16"/>
      <c r="W16" s="16"/>
      <c r="X16" s="16"/>
      <c r="Y16" s="16"/>
      <c r="Z16" s="16"/>
      <c r="AA16" s="16"/>
    </row>
    <row r="17" spans="1:27" ht="16.5" customHeight="1" x14ac:dyDescent="0.6">
      <c r="A17" s="16"/>
      <c r="B17" s="110">
        <f>-CAPEX_BASE*$C$5</f>
        <v>-480701.25</v>
      </c>
      <c r="C17" s="110">
        <f>AhorroBase*$D$5*$G$5</f>
        <v>208000.60505615087</v>
      </c>
      <c r="D17" s="110">
        <f>SENS!C17*(1+EscOPEX*$F$5)</f>
        <v>218400.63530895842</v>
      </c>
      <c r="E17" s="110">
        <f>SENS!D17*(1+EscOPEX*$F$5)</f>
        <v>229320.66707440634</v>
      </c>
      <c r="F17" s="110">
        <f>SENS!E17*(1+EscOPEX*$F$5)</f>
        <v>240786.70042812667</v>
      </c>
      <c r="G17" s="110">
        <f>SENS!F17*(1+EscOPEX*$F$5)</f>
        <v>252826.03544953302</v>
      </c>
      <c r="H17" s="110">
        <f>SENS!G17*(1+EscOPEX*$F$5)</f>
        <v>265467.33722200966</v>
      </c>
      <c r="I17" s="110">
        <f>SENS!H17*(1+EscOPEX*$F$5)</f>
        <v>278740.70408311015</v>
      </c>
      <c r="J17" s="110">
        <f>SENS!I17*(1+EscOPEX*$F$5)</f>
        <v>292677.73928726569</v>
      </c>
      <c r="K17" s="110">
        <f>SENS!J17*(1+EscOPEX*$F$5)</f>
        <v>307311.62625162897</v>
      </c>
      <c r="L17" s="110">
        <f>SENS!K17*(1+EscOPEX*$F$5)</f>
        <v>322677.20756421046</v>
      </c>
      <c r="M17" s="110">
        <f>SENS!L17*(1+EscOPEX*$F$5)</f>
        <v>338811.06794242101</v>
      </c>
      <c r="N17" s="110">
        <f>SENS!M17*(1+EscOPEX*$F$5)</f>
        <v>355751.62133954209</v>
      </c>
      <c r="O17" s="110">
        <f>SENS!N17*(1+EscOPEX*$F$5)</f>
        <v>373539.20240651921</v>
      </c>
      <c r="P17" s="110">
        <f>SENS!O17*(1+EscOPEX*$F$5)</f>
        <v>392216.16252684518</v>
      </c>
      <c r="Q17" s="110">
        <f>SENS!P17*(1+EscOPEX*$F$5) + CAPEX_BASE*ValorResidualPct*$C$5</f>
        <v>411826.97065318743</v>
      </c>
      <c r="R17" s="16"/>
      <c r="S17" s="111">
        <f t="shared" si="0"/>
        <v>0.48019491805185943</v>
      </c>
      <c r="T17" s="112">
        <f>B17+C17/(1+WACC*$E$5)^1+D17/(1+WACC*$E$5)^2+E17/(1+WACC*$E$5)^3+F17/(1+WACC*$E$5)^4+G17/(1+WACC*$E$5)^5+H17/(1+WACC*$E$5)^6+I17/(1+WACC*$E$5)^7+J17/(1+WACC*$E$5)^8+K17/(1+WACC*$E$5)^9+L17/(1+WACC*$E$5)^10+M17/(1+WACC*$E$5)^11+N17/(1+WACC*$E$5)^12+O17/(1+WACC*$E$5)^13+P17/(1+WACC*$E$5)^14+Q17/(1+WACC*$E$5)^15</f>
        <v>1908775.9785840025</v>
      </c>
      <c r="U17" s="16"/>
      <c r="V17" s="16"/>
      <c r="W17" s="16"/>
      <c r="X17" s="16"/>
      <c r="Y17" s="16"/>
      <c r="Z17" s="16"/>
      <c r="AA17" s="16"/>
    </row>
    <row r="18" spans="1:27" ht="16.5" customHeight="1" x14ac:dyDescent="0.6">
      <c r="A18" s="16"/>
      <c r="B18" s="110">
        <f>-CAPEX_BASE*$C$6</f>
        <v>-384561</v>
      </c>
      <c r="C18" s="110">
        <f>AhorroBase*$D$6*$G$6</f>
        <v>156000.45379211317</v>
      </c>
      <c r="D18" s="110">
        <f>SENS!C18*(1+EscOPEX*$F$6)</f>
        <v>163800.47648171883</v>
      </c>
      <c r="E18" s="110">
        <f>SENS!D18*(1+EscOPEX*$F$6)</f>
        <v>171990.50030580477</v>
      </c>
      <c r="F18" s="110">
        <f>SENS!E18*(1+EscOPEX*$F$6)</f>
        <v>180590.02532109502</v>
      </c>
      <c r="G18" s="110">
        <f>SENS!F18*(1+EscOPEX*$F$6)</f>
        <v>189619.52658714977</v>
      </c>
      <c r="H18" s="110">
        <f>SENS!G18*(1+EscOPEX*$F$6)</f>
        <v>199100.50291650728</v>
      </c>
      <c r="I18" s="110">
        <f>SENS!H18*(1+EscOPEX*$F$6)</f>
        <v>209055.52806233265</v>
      </c>
      <c r="J18" s="110">
        <f>SENS!I18*(1+EscOPEX*$F$6)</f>
        <v>219508.3044654493</v>
      </c>
      <c r="K18" s="110">
        <f>SENS!J18*(1+EscOPEX*$F$6)</f>
        <v>230483.71968872179</v>
      </c>
      <c r="L18" s="110">
        <f>SENS!K18*(1+EscOPEX*$F$6)</f>
        <v>242007.90567315789</v>
      </c>
      <c r="M18" s="110">
        <f>SENS!L18*(1+EscOPEX*$F$6)</f>
        <v>254108.3009568158</v>
      </c>
      <c r="N18" s="110">
        <f>SENS!M18*(1+EscOPEX*$F$6)</f>
        <v>266813.71600465663</v>
      </c>
      <c r="O18" s="110">
        <f>SENS!N18*(1+EscOPEX*$F$6)</f>
        <v>280154.40180488949</v>
      </c>
      <c r="P18" s="110">
        <f>SENS!O18*(1+EscOPEX*$F$6)</f>
        <v>294162.12189513398</v>
      </c>
      <c r="Q18" s="110">
        <f>SENS!P18*(1+EscOPEX*$F$6) + CAPEX_BASE*ValorResidualPct*$C$6</f>
        <v>308870.22798989067</v>
      </c>
      <c r="R18" s="16"/>
      <c r="S18" s="111">
        <f t="shared" si="0"/>
        <v>0.45253905546930251</v>
      </c>
      <c r="T18" s="112">
        <f>B18+C18/(1+WACC*$E$6)^1+D18/(1+WACC*$E$6)^2+E18/(1+WACC*$E$6)^3+F18/(1+WACC*$E$6)^4+G18/(1+WACC*$E$6)^5+H18/(1+WACC*$E$6)^6+I18/(1+WACC*$E$6)^7+J18/(1+WACC*$E$6)^8+K18/(1+WACC*$E$6)^9+L18/(1+WACC*$E$6)^10+M18/(1+WACC*$E$6)^11+N18/(1+WACC*$E$6)^12+O18/(1+WACC*$E$6)^13+P18/(1+WACC*$E$6)^14+Q18/(1+WACC*$E$6)^15</f>
        <v>1407546.921438002</v>
      </c>
      <c r="U18" s="16"/>
      <c r="V18" s="16"/>
      <c r="W18" s="16"/>
      <c r="X18" s="16"/>
      <c r="Y18" s="16"/>
      <c r="Z18" s="16"/>
      <c r="AA18" s="16"/>
    </row>
    <row r="19" spans="1:27" ht="16.5" customHeight="1" x14ac:dyDescent="0.6">
      <c r="A19" s="16"/>
      <c r="B19" s="110">
        <f>-CAPEX_BASE*$C$7</f>
        <v>-384561</v>
      </c>
      <c r="C19" s="110">
        <f>AhorroBase*$D$7*$G$7</f>
        <v>260000.75632018858</v>
      </c>
      <c r="D19" s="110">
        <f>SENS!C19*(1+EscOPEX*$F$7)</f>
        <v>273000.794136198</v>
      </c>
      <c r="E19" s="110">
        <f>SENS!D19*(1+EscOPEX*$F$7)</f>
        <v>286650.83384300792</v>
      </c>
      <c r="F19" s="110">
        <f>SENS!E19*(1+EscOPEX*$F$7)</f>
        <v>300983.37553515832</v>
      </c>
      <c r="G19" s="110">
        <f>SENS!F19*(1+EscOPEX*$F$7)</f>
        <v>316032.54431191628</v>
      </c>
      <c r="H19" s="110">
        <f>SENS!G19*(1+EscOPEX*$F$7)</f>
        <v>331834.17152751208</v>
      </c>
      <c r="I19" s="110">
        <f>SENS!H19*(1+EscOPEX*$F$7)</f>
        <v>348425.8801038877</v>
      </c>
      <c r="J19" s="110">
        <f>SENS!I19*(1+EscOPEX*$F$7)</f>
        <v>365847.17410908209</v>
      </c>
      <c r="K19" s="110">
        <f>SENS!J19*(1+EscOPEX*$F$7)</f>
        <v>384139.53281453619</v>
      </c>
      <c r="L19" s="110">
        <f>SENS!K19*(1+EscOPEX*$F$7)</f>
        <v>403346.50945526303</v>
      </c>
      <c r="M19" s="110">
        <f>SENS!L19*(1+EscOPEX*$F$7)</f>
        <v>423513.83492802619</v>
      </c>
      <c r="N19" s="110">
        <f>SENS!M19*(1+EscOPEX*$F$7)</f>
        <v>444689.5266744275</v>
      </c>
      <c r="O19" s="110">
        <f>SENS!N19*(1+EscOPEX*$F$7)</f>
        <v>466924.00300814887</v>
      </c>
      <c r="P19" s="110">
        <f>SENS!O19*(1+EscOPEX*$F$7)</f>
        <v>490270.20315855631</v>
      </c>
      <c r="Q19" s="110">
        <f>SENS!P19*(1+EscOPEX*$F$7) + CAPEX_BASE*ValorResidualPct*$C$7</f>
        <v>514783.71331648412</v>
      </c>
      <c r="R19" s="16"/>
      <c r="S19" s="111">
        <f t="shared" si="0"/>
        <v>0.72570551020681262</v>
      </c>
      <c r="T19" s="112">
        <f>B19+C19/(1+WACC*$E$7)^1+D19/(1+WACC*$E$7)^2+E19/(1+WACC*$E$7)^3+F19/(1+WACC*$E$7)^4+G19/(1+WACC*$E$7)^5+H19/(1+WACC*$E$7)^6+I19/(1+WACC*$E$7)^7+J19/(1+WACC*$E$7)^8+K19/(1+WACC*$E$7)^9+L19/(1+WACC*$E$7)^10+M19/(1+WACC*$E$7)^11+N19/(1+WACC*$E$7)^12+O19/(1+WACC*$E$7)^13+P19/(1+WACC*$E$7)^14+Q19/(1+WACC*$E$7)^15</f>
        <v>2602285.5357300029</v>
      </c>
      <c r="U19" s="16"/>
      <c r="V19" s="16"/>
      <c r="W19" s="16"/>
      <c r="X19" s="16"/>
      <c r="Y19" s="16"/>
      <c r="Z19" s="16"/>
      <c r="AA19" s="16"/>
    </row>
    <row r="20" spans="1:27" ht="16.5" customHeight="1" x14ac:dyDescent="0.6">
      <c r="A20" s="16"/>
      <c r="B20" s="110">
        <f>-CAPEX_BASE*$C$8</f>
        <v>-384561</v>
      </c>
      <c r="C20" s="110">
        <f>AhorroBase*$D$8*$G$8</f>
        <v>208000.60505615087</v>
      </c>
      <c r="D20" s="110">
        <f>SENS!C20*(1+EscOPEX*$F$8)</f>
        <v>218400.63530895842</v>
      </c>
      <c r="E20" s="110">
        <f>SENS!D20*(1+EscOPEX*$F$8)</f>
        <v>229320.66707440634</v>
      </c>
      <c r="F20" s="110">
        <f>SENS!E20*(1+EscOPEX*$F$8)</f>
        <v>240786.70042812667</v>
      </c>
      <c r="G20" s="110">
        <f>SENS!F20*(1+EscOPEX*$F$8)</f>
        <v>252826.03544953302</v>
      </c>
      <c r="H20" s="110">
        <f>SENS!G20*(1+EscOPEX*$F$8)</f>
        <v>265467.33722200966</v>
      </c>
      <c r="I20" s="110">
        <f>SENS!H20*(1+EscOPEX*$F$8)</f>
        <v>278740.70408311015</v>
      </c>
      <c r="J20" s="110">
        <f>SENS!I20*(1+EscOPEX*$F$8)</f>
        <v>292677.73928726569</v>
      </c>
      <c r="K20" s="110">
        <f>SENS!J20*(1+EscOPEX*$F$8)</f>
        <v>307311.62625162897</v>
      </c>
      <c r="L20" s="110">
        <f>SENS!K20*(1+EscOPEX*$F$8)</f>
        <v>322677.20756421046</v>
      </c>
      <c r="M20" s="110">
        <f>SENS!L20*(1+EscOPEX*$F$8)</f>
        <v>338811.06794242101</v>
      </c>
      <c r="N20" s="110">
        <f>SENS!M20*(1+EscOPEX*$F$8)</f>
        <v>355751.62133954209</v>
      </c>
      <c r="O20" s="110">
        <f>SENS!N20*(1+EscOPEX*$F$8)</f>
        <v>373539.20240651921</v>
      </c>
      <c r="P20" s="110">
        <f>SENS!O20*(1+EscOPEX*$F$8)</f>
        <v>392216.16252684518</v>
      </c>
      <c r="Q20" s="110">
        <f>SENS!P20*(1+EscOPEX*$F$8) + CAPEX_BASE*ValorResidualPct*$C$8</f>
        <v>411826.97065318743</v>
      </c>
      <c r="R20" s="16"/>
      <c r="S20" s="111">
        <f t="shared" si="0"/>
        <v>0.58980460137197621</v>
      </c>
      <c r="T20" s="112">
        <f>B20+C20/(1+WACC*$E$8)^1+D20/(1+WACC*$E$8)^2+E20/(1+WACC*$E$8)^3+F20/(1+WACC*$E$8)^4+G20/(1+WACC*$E$8)^5+H20/(1+WACC*$E$8)^6+I20/(1+WACC*$E$8)^7+J20/(1+WACC*$E$8)^8+K20/(1+WACC*$E$8)^9+L20/(1+WACC*$E$8)^10+M20/(1+WACC*$E$8)^11+N20/(1+WACC*$E$8)^12+O20/(1+WACC*$E$8)^13+P20/(1+WACC*$E$8)^14+Q20/(1+WACC*$E$8)^15</f>
        <v>2372193.8837908125</v>
      </c>
      <c r="U20" s="16"/>
      <c r="V20" s="16"/>
      <c r="W20" s="16"/>
      <c r="X20" s="16"/>
      <c r="Y20" s="16"/>
      <c r="Z20" s="16"/>
      <c r="AA20" s="16"/>
    </row>
    <row r="21" spans="1:27" ht="16.5" customHeight="1" x14ac:dyDescent="0.6">
      <c r="A21" s="16"/>
      <c r="B21" s="110">
        <f>-CAPEX_BASE*$C$9</f>
        <v>-384561</v>
      </c>
      <c r="C21" s="110">
        <f>AhorroBase*$D$9*$G$9</f>
        <v>208000.60505615087</v>
      </c>
      <c r="D21" s="110">
        <f>SENS!C21*(1+EscOPEX*$F$9)</f>
        <v>218400.63530895842</v>
      </c>
      <c r="E21" s="110">
        <f>SENS!D21*(1+EscOPEX*$F$9)</f>
        <v>229320.66707440634</v>
      </c>
      <c r="F21" s="110">
        <f>SENS!E21*(1+EscOPEX*$F$9)</f>
        <v>240786.70042812667</v>
      </c>
      <c r="G21" s="110">
        <f>SENS!F21*(1+EscOPEX*$F$9)</f>
        <v>252826.03544953302</v>
      </c>
      <c r="H21" s="110">
        <f>SENS!G21*(1+EscOPEX*$F$9)</f>
        <v>265467.33722200966</v>
      </c>
      <c r="I21" s="110">
        <f>SENS!H21*(1+EscOPEX*$F$9)</f>
        <v>278740.70408311015</v>
      </c>
      <c r="J21" s="110">
        <f>SENS!I21*(1+EscOPEX*$F$9)</f>
        <v>292677.73928726569</v>
      </c>
      <c r="K21" s="110">
        <f>SENS!J21*(1+EscOPEX*$F$9)</f>
        <v>307311.62625162897</v>
      </c>
      <c r="L21" s="110">
        <f>SENS!K21*(1+EscOPEX*$F$9)</f>
        <v>322677.20756421046</v>
      </c>
      <c r="M21" s="110">
        <f>SENS!L21*(1+EscOPEX*$F$9)</f>
        <v>338811.06794242101</v>
      </c>
      <c r="N21" s="110">
        <f>SENS!M21*(1+EscOPEX*$F$9)</f>
        <v>355751.62133954209</v>
      </c>
      <c r="O21" s="110">
        <f>SENS!N21*(1+EscOPEX*$F$9)</f>
        <v>373539.20240651921</v>
      </c>
      <c r="P21" s="110">
        <f>SENS!O21*(1+EscOPEX*$F$9)</f>
        <v>392216.16252684518</v>
      </c>
      <c r="Q21" s="110">
        <f>SENS!P21*(1+EscOPEX*$F$9) + CAPEX_BASE*ValorResidualPct*$C$9</f>
        <v>411826.97065318743</v>
      </c>
      <c r="R21" s="16"/>
      <c r="S21" s="111">
        <f t="shared" si="0"/>
        <v>0.58980460137197621</v>
      </c>
      <c r="T21" s="112">
        <f>B21+C21/(1+WACC*$E$9)^1+D21/(1+WACC*$E$9)^2+E21/(1+WACC*$E$9)^3+F21/(1+WACC*$E$9)^4+G21/(1+WACC*$E$9)^5+H21/(1+WACC*$E$9)^6+I21/(1+WACC*$E$9)^7+J21/(1+WACC*$E$9)^8+K21/(1+WACC*$E$9)^9+L21/(1+WACC*$E$9)^10+M21/(1+WACC*$E$9)^11+N21/(1+WACC*$E$9)^12+O21/(1+WACC*$E$9)^13+P21/(1+WACC*$E$9)^14+Q21/(1+WACC*$E$9)^15</f>
        <v>1705100.9488296376</v>
      </c>
      <c r="U21" s="16"/>
      <c r="V21" s="16"/>
      <c r="W21" s="16"/>
      <c r="X21" s="16"/>
      <c r="Y21" s="16"/>
      <c r="Z21" s="16"/>
      <c r="AA21" s="16"/>
    </row>
    <row r="22" spans="1:27" ht="16.5" customHeight="1" x14ac:dyDescent="0.6">
      <c r="A22" s="16"/>
      <c r="B22" s="110">
        <f>-CAPEX_BASE*$C$10</f>
        <v>-384561</v>
      </c>
      <c r="C22" s="110">
        <f>AhorroBase*$D$10*$G$10</f>
        <v>208000.60505615087</v>
      </c>
      <c r="D22" s="110">
        <f>SENS!C22*(1+EscOPEX*$F$10)</f>
        <v>215800.62774575656</v>
      </c>
      <c r="E22" s="110">
        <f>SENS!D22*(1+EscOPEX*$F$10)</f>
        <v>223893.15128622245</v>
      </c>
      <c r="F22" s="110">
        <f>SENS!E22*(1+EscOPEX*$F$10)</f>
        <v>232289.1444594558</v>
      </c>
      <c r="G22" s="110">
        <f>SENS!F22*(1+EscOPEX*$F$10)</f>
        <v>240999.9873766854</v>
      </c>
      <c r="H22" s="110">
        <f>SENS!G22*(1+EscOPEX*$F$10)</f>
        <v>250037.48690331113</v>
      </c>
      <c r="I22" s="110">
        <f>SENS!H22*(1+EscOPEX*$F$10)</f>
        <v>259413.89266218533</v>
      </c>
      <c r="J22" s="110">
        <f>SENS!I22*(1+EscOPEX*$F$10)</f>
        <v>269141.91363701731</v>
      </c>
      <c r="K22" s="110">
        <f>SENS!J22*(1+EscOPEX*$F$10)</f>
        <v>279234.73539840546</v>
      </c>
      <c r="L22" s="110">
        <f>SENS!K22*(1+EscOPEX*$F$10)</f>
        <v>289706.03797584568</v>
      </c>
      <c r="M22" s="110">
        <f>SENS!L22*(1+EscOPEX*$F$10)</f>
        <v>300570.01439993992</v>
      </c>
      <c r="N22" s="110">
        <f>SENS!M22*(1+EscOPEX*$F$10)</f>
        <v>311841.38993993768</v>
      </c>
      <c r="O22" s="110">
        <f>SENS!N22*(1+EscOPEX*$F$10)</f>
        <v>323535.44206268538</v>
      </c>
      <c r="P22" s="110">
        <f>SENS!O22*(1+EscOPEX*$F$10)</f>
        <v>335668.02114003611</v>
      </c>
      <c r="Q22" s="110">
        <f>SENS!P22*(1+EscOPEX*$F$10) + CAPEX_BASE*ValorResidualPct*$C$10</f>
        <v>348255.57193278748</v>
      </c>
      <c r="R22" s="16"/>
      <c r="S22" s="111">
        <f t="shared" si="0"/>
        <v>0.57736898284755966</v>
      </c>
      <c r="T22" s="112">
        <f>B22+C22/(1+WACC*$E$10)^1+D22/(1+WACC*$E$10)^2+E22/(1+WACC*$E$10)^3+F22/(1+WACC*$E$10)^4+G22/(1+WACC*$E$10)^5+H22/(1+WACC*$E$10)^6+I22/(1+WACC*$E$10)^7+J22/(1+WACC*$E$10)^8+K22/(1+WACC*$E$10)^9+L22/(1+WACC*$E$10)^10+M22/(1+WACC*$E$10)^11+N22/(1+WACC*$E$10)^12+O22/(1+WACC*$E$10)^13+P22/(1+WACC*$E$10)^14+Q22/(1+WACC*$E$10)^15</f>
        <v>1829533.1008573938</v>
      </c>
      <c r="U22" s="16"/>
      <c r="V22" s="16"/>
      <c r="W22" s="16"/>
      <c r="X22" s="16"/>
      <c r="Y22" s="16"/>
      <c r="Z22" s="16"/>
      <c r="AA22" s="16"/>
    </row>
    <row r="23" spans="1:27" ht="16.5" customHeight="1" x14ac:dyDescent="0.6">
      <c r="A23" s="16"/>
      <c r="B23" s="110">
        <f>-CAPEX_BASE*$C$11</f>
        <v>-384561</v>
      </c>
      <c r="C23" s="110">
        <f>AhorroBase*$D$11*$G$11</f>
        <v>208000.60505615087</v>
      </c>
      <c r="D23" s="110">
        <f>SENS!C23*(1+EscOPEX*$F$11)</f>
        <v>221000.6428721603</v>
      </c>
      <c r="E23" s="110">
        <f>SENS!D23*(1+EscOPEX*$F$11)</f>
        <v>234813.18305167032</v>
      </c>
      <c r="F23" s="110">
        <f>SENS!E23*(1+EscOPEX*$F$11)</f>
        <v>249489.00699239972</v>
      </c>
      <c r="G23" s="110">
        <f>SENS!F23*(1+EscOPEX*$F$11)</f>
        <v>265082.06992942473</v>
      </c>
      <c r="H23" s="110">
        <f>SENS!G23*(1+EscOPEX*$F$11)</f>
        <v>281649.69930001377</v>
      </c>
      <c r="I23" s="110">
        <f>SENS!H23*(1+EscOPEX*$F$11)</f>
        <v>299252.80550626462</v>
      </c>
      <c r="J23" s="110">
        <f>SENS!I23*(1+EscOPEX*$F$11)</f>
        <v>317956.10585040617</v>
      </c>
      <c r="K23" s="110">
        <f>SENS!J23*(1+EscOPEX*$F$11)</f>
        <v>337828.36246605654</v>
      </c>
      <c r="L23" s="110">
        <f>SENS!K23*(1+EscOPEX*$F$11)</f>
        <v>358942.63512018509</v>
      </c>
      <c r="M23" s="110">
        <f>SENS!L23*(1+EscOPEX*$F$11)</f>
        <v>381376.54981519666</v>
      </c>
      <c r="N23" s="110">
        <f>SENS!M23*(1+EscOPEX*$F$11)</f>
        <v>405212.58417864644</v>
      </c>
      <c r="O23" s="110">
        <f>SENS!N23*(1+EscOPEX*$F$11)</f>
        <v>430538.37068981183</v>
      </c>
      <c r="P23" s="110">
        <f>SENS!O23*(1+EscOPEX*$F$11)</f>
        <v>457447.01885792508</v>
      </c>
      <c r="Q23" s="110">
        <f>SENS!P23*(1+EscOPEX*$F$11) + CAPEX_BASE*ValorResidualPct*$C$11</f>
        <v>486037.45753654541</v>
      </c>
      <c r="R23" s="16"/>
      <c r="S23" s="111">
        <f t="shared" si="0"/>
        <v>0.60223746157974811</v>
      </c>
      <c r="T23" s="112">
        <f>B23+C23/(1+WACC*$E$11)^1+D23/(1+WACC*$E$11)^2+E23/(1+WACC*$E$11)^3+F23/(1+WACC*$E$11)^4+G23/(1+WACC*$E$11)^5+H23/(1+WACC*$E$11)^6+I23/(1+WACC*$E$11)^7+J23/(1+WACC*$E$11)^8+K23/(1+WACC*$E$11)^9+L23/(1+WACC*$E$11)^10+M23/(1+WACC*$E$11)^11+N23/(1+WACC*$E$11)^12+O23/(1+WACC*$E$11)^13+P23/(1+WACC*$E$11)^14+Q23/(1+WACC*$E$11)^15</f>
        <v>2198588.9123199796</v>
      </c>
      <c r="U23" s="16"/>
      <c r="V23" s="16"/>
      <c r="W23" s="16"/>
      <c r="X23" s="16"/>
      <c r="Y23" s="16"/>
      <c r="Z23" s="16"/>
      <c r="AA23" s="16"/>
    </row>
    <row r="24" spans="1:27" ht="16.5" customHeight="1" x14ac:dyDescent="0.6">
      <c r="A24" s="16"/>
      <c r="B24" s="110">
        <f>-CAPEX_BASE*$C$12</f>
        <v>-384561</v>
      </c>
      <c r="C24" s="110">
        <f>AhorroBase*$D$12*$G$12</f>
        <v>156000.45379211317</v>
      </c>
      <c r="D24" s="110">
        <f>SENS!C24*(1+EscOPEX*$F$12)</f>
        <v>163800.47648171883</v>
      </c>
      <c r="E24" s="110">
        <f>SENS!D24*(1+EscOPEX*$F$12)</f>
        <v>171990.50030580477</v>
      </c>
      <c r="F24" s="110">
        <f>SENS!E24*(1+EscOPEX*$F$12)</f>
        <v>180590.02532109502</v>
      </c>
      <c r="G24" s="110">
        <f>SENS!F24*(1+EscOPEX*$F$12)</f>
        <v>189619.52658714977</v>
      </c>
      <c r="H24" s="110">
        <f>SENS!G24*(1+EscOPEX*$F$12)</f>
        <v>199100.50291650728</v>
      </c>
      <c r="I24" s="110">
        <f>SENS!H24*(1+EscOPEX*$F$12)</f>
        <v>209055.52806233265</v>
      </c>
      <c r="J24" s="110">
        <f>SENS!I24*(1+EscOPEX*$F$12)</f>
        <v>219508.3044654493</v>
      </c>
      <c r="K24" s="110">
        <f>SENS!J24*(1+EscOPEX*$F$12)</f>
        <v>230483.71968872179</v>
      </c>
      <c r="L24" s="110">
        <f>SENS!K24*(1+EscOPEX*$F$12)</f>
        <v>242007.90567315789</v>
      </c>
      <c r="M24" s="110">
        <f>SENS!L24*(1+EscOPEX*$F$12)</f>
        <v>254108.3009568158</v>
      </c>
      <c r="N24" s="110">
        <f>SENS!M24*(1+EscOPEX*$F$12)</f>
        <v>266813.71600465663</v>
      </c>
      <c r="O24" s="110">
        <f>SENS!N24*(1+EscOPEX*$F$12)</f>
        <v>280154.40180488949</v>
      </c>
      <c r="P24" s="110">
        <f>SENS!O24*(1+EscOPEX*$F$12)</f>
        <v>294162.12189513398</v>
      </c>
      <c r="Q24" s="110">
        <f>SENS!P24*(1+EscOPEX*$F$12) + CAPEX_BASE*ValorResidualPct*$C$12</f>
        <v>308870.22798989067</v>
      </c>
      <c r="R24" s="16"/>
      <c r="S24" s="111">
        <f t="shared" si="0"/>
        <v>0.45253905546930251</v>
      </c>
      <c r="T24" s="112">
        <f>B24+C24/(1+WACC*$E$12)^1+D24/(1+WACC*$E$12)^2+E24/(1+WACC*$E$12)^3+F24/(1+WACC*$E$12)^4+G24/(1+WACC*$E$12)^5+H24/(1+WACC*$E$12)^6+I24/(1+WACC*$E$12)^7+J24/(1+WACC*$E$12)^8+K24/(1+WACC*$E$12)^9+L24/(1+WACC*$E$12)^10+M24/(1+WACC*$E$12)^11+N24/(1+WACC*$E$12)^12+O24/(1+WACC*$E$12)^13+P24/(1+WACC*$E$12)^14+Q24/(1+WACC*$E$12)^15</f>
        <v>1407546.921438002</v>
      </c>
      <c r="U24" s="16"/>
      <c r="V24" s="16"/>
      <c r="W24" s="16"/>
      <c r="X24" s="16"/>
      <c r="Y24" s="16"/>
      <c r="Z24" s="16"/>
      <c r="AA24" s="16"/>
    </row>
    <row r="25" spans="1:27" ht="16.5" customHeight="1" x14ac:dyDescent="0.6">
      <c r="A25" s="16"/>
      <c r="B25" s="110">
        <f>-CAPEX_BASE*$C$13</f>
        <v>-384561</v>
      </c>
      <c r="C25" s="110">
        <f>AhorroBase*$D$13*$G$13</f>
        <v>260000.75632018858</v>
      </c>
      <c r="D25" s="110">
        <f>SENS!C25*(1+EscOPEX*$F$13)</f>
        <v>273000.794136198</v>
      </c>
      <c r="E25" s="110">
        <f>SENS!D25*(1+EscOPEX*$F$13)</f>
        <v>286650.83384300792</v>
      </c>
      <c r="F25" s="110">
        <f>SENS!E25*(1+EscOPEX*$F$13)</f>
        <v>300983.37553515832</v>
      </c>
      <c r="G25" s="110">
        <f>SENS!F25*(1+EscOPEX*$F$13)</f>
        <v>316032.54431191628</v>
      </c>
      <c r="H25" s="110">
        <f>SENS!G25*(1+EscOPEX*$F$13)</f>
        <v>331834.17152751208</v>
      </c>
      <c r="I25" s="110">
        <f>SENS!H25*(1+EscOPEX*$F$13)</f>
        <v>348425.8801038877</v>
      </c>
      <c r="J25" s="110">
        <f>SENS!I25*(1+EscOPEX*$F$13)</f>
        <v>365847.17410908209</v>
      </c>
      <c r="K25" s="110">
        <f>SENS!J25*(1+EscOPEX*$F$13)</f>
        <v>384139.53281453619</v>
      </c>
      <c r="L25" s="110">
        <f>SENS!K25*(1+EscOPEX*$F$13)</f>
        <v>403346.50945526303</v>
      </c>
      <c r="M25" s="110">
        <f>SENS!L25*(1+EscOPEX*$F$13)</f>
        <v>423513.83492802619</v>
      </c>
      <c r="N25" s="110">
        <f>SENS!M25*(1+EscOPEX*$F$13)</f>
        <v>444689.5266744275</v>
      </c>
      <c r="O25" s="110">
        <f>SENS!N25*(1+EscOPEX*$F$13)</f>
        <v>466924.00300814887</v>
      </c>
      <c r="P25" s="110">
        <f>SENS!O25*(1+EscOPEX*$F$13)</f>
        <v>490270.20315855631</v>
      </c>
      <c r="Q25" s="110">
        <f>SENS!P25*(1+EscOPEX*$F$13) + CAPEX_BASE*ValorResidualPct*$C$13</f>
        <v>514783.71331648412</v>
      </c>
      <c r="R25" s="16"/>
      <c r="S25" s="111">
        <f t="shared" si="0"/>
        <v>0.72570551020681262</v>
      </c>
      <c r="T25" s="112">
        <f>B25+C25/(1+WACC*$E$13)^1+D25/(1+WACC*$E$13)^2+E25/(1+WACC*$E$13)^3+F25/(1+WACC*$E$13)^4+G25/(1+WACC*$E$13)^5+H25/(1+WACC*$E$13)^6+I25/(1+WACC*$E$13)^7+J25/(1+WACC*$E$13)^8+K25/(1+WACC*$E$13)^9+L25/(1+WACC*$E$13)^10+M25/(1+WACC*$E$13)^11+N25/(1+WACC*$E$13)^12+O25/(1+WACC*$E$13)^13+P25/(1+WACC*$E$13)^14+Q25/(1+WACC*$E$13)^15</f>
        <v>2602285.5357300029</v>
      </c>
      <c r="U25" s="16"/>
      <c r="V25" s="16"/>
      <c r="W25" s="16"/>
      <c r="X25" s="16"/>
      <c r="Y25" s="16"/>
      <c r="Z25" s="16"/>
      <c r="AA25" s="16"/>
    </row>
    <row r="26" spans="1:27" ht="14.25" customHeight="1" x14ac:dyDescent="0.4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27.75" customHeight="1" x14ac:dyDescent="0.45">
      <c r="A27" s="113" t="s">
        <v>282</v>
      </c>
      <c r="B27" s="59"/>
      <c r="C27" s="59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25.5" customHeight="1" x14ac:dyDescent="0.45">
      <c r="A28" s="22" t="s">
        <v>265</v>
      </c>
      <c r="B28" s="22" t="s">
        <v>283</v>
      </c>
      <c r="C28" s="22" t="s">
        <v>284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21.75" customHeight="1" x14ac:dyDescent="0.45">
      <c r="A29" s="46" t="s">
        <v>24</v>
      </c>
      <c r="B29" s="114">
        <f>SENS!T16-SENS!Z$2</f>
        <v>96140.249999999767</v>
      </c>
      <c r="C29" s="115">
        <f>SENS!T17-SENS!Z$2</f>
        <v>-96140.25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21.75" customHeight="1" x14ac:dyDescent="0.45">
      <c r="A30" s="46" t="s">
        <v>274</v>
      </c>
      <c r="B30" s="114">
        <f>SENS!T18-SENS!Z$2</f>
        <v>-597369.30714600044</v>
      </c>
      <c r="C30" s="115">
        <f>SENS!T19-SENS!Z$2</f>
        <v>597369.30714600044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21.75" customHeight="1" x14ac:dyDescent="0.45">
      <c r="A31" s="46" t="s">
        <v>275</v>
      </c>
      <c r="B31" s="114">
        <f>SENS!T20-SENS!Z$2</f>
        <v>367277.65520680998</v>
      </c>
      <c r="C31" s="115">
        <f>SENS!T21-SENS!Z$2</f>
        <v>-299815.27975436486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21.75" customHeight="1" x14ac:dyDescent="0.45">
      <c r="A32" s="46" t="s">
        <v>276</v>
      </c>
      <c r="B32" s="114">
        <f>SENS!T22-SENS!Z$2</f>
        <v>-175383.12772660865</v>
      </c>
      <c r="C32" s="115">
        <f>SENS!T23-SENS!Z$2</f>
        <v>193672.68373597716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21.75" customHeight="1" x14ac:dyDescent="0.45">
      <c r="A33" s="46" t="s">
        <v>277</v>
      </c>
      <c r="B33" s="114">
        <f>SENS!T24-SENS!Z$2</f>
        <v>-597369.30714600044</v>
      </c>
      <c r="C33" s="115">
        <f>SENS!T25-SENS!Z$2</f>
        <v>597369.30714600044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4.25" customHeight="1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14.25" customHeight="1" x14ac:dyDescent="0.4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T18"/>
  <sheetViews>
    <sheetView zoomScaleNormal="100" workbookViewId="0"/>
  </sheetViews>
  <sheetFormatPr baseColWidth="10" defaultColWidth="9.06640625" defaultRowHeight="14.25" x14ac:dyDescent="0.45"/>
  <cols>
    <col min="1" max="1" width="24.73046875" customWidth="1"/>
  </cols>
  <sheetData>
    <row r="1" spans="1:46" ht="16.5" customHeight="1" x14ac:dyDescent="0.5">
      <c r="A1" s="116" t="s">
        <v>285</v>
      </c>
      <c r="D1" s="116" t="s">
        <v>286</v>
      </c>
      <c r="H1" s="116" t="s">
        <v>287</v>
      </c>
      <c r="N1" s="116" t="s">
        <v>288</v>
      </c>
      <c r="S1" s="116" t="s">
        <v>289</v>
      </c>
      <c r="AC1" s="116" t="s">
        <v>290</v>
      </c>
      <c r="AF1" s="116" t="s">
        <v>291</v>
      </c>
      <c r="AJ1" s="116" t="s">
        <v>292</v>
      </c>
      <c r="AL1" s="116" t="s">
        <v>293</v>
      </c>
      <c r="AO1" s="116" t="s">
        <v>294</v>
      </c>
      <c r="AR1" s="116" t="s">
        <v>295</v>
      </c>
    </row>
    <row r="2" spans="1:46" ht="14.25" customHeight="1" x14ac:dyDescent="0.45">
      <c r="A2" s="117" t="s">
        <v>296</v>
      </c>
      <c r="B2" s="117" t="s">
        <v>297</v>
      </c>
      <c r="D2" s="117" t="s">
        <v>298</v>
      </c>
      <c r="E2" s="117" t="s">
        <v>299</v>
      </c>
      <c r="F2" s="117" t="s">
        <v>112</v>
      </c>
      <c r="H2" s="117" t="s">
        <v>110</v>
      </c>
      <c r="I2" s="117" t="s">
        <v>300</v>
      </c>
      <c r="J2" s="117" t="s">
        <v>301</v>
      </c>
      <c r="K2" s="117" t="s">
        <v>209</v>
      </c>
      <c r="N2" s="117" t="s">
        <v>126</v>
      </c>
      <c r="O2" s="117" t="s">
        <v>21</v>
      </c>
      <c r="P2" s="117" t="s">
        <v>22</v>
      </c>
      <c r="Q2" s="117" t="s">
        <v>302</v>
      </c>
      <c r="S2" s="117" t="s">
        <v>303</v>
      </c>
      <c r="T2" s="117" t="s">
        <v>304</v>
      </c>
      <c r="U2" s="117" t="s">
        <v>305</v>
      </c>
      <c r="V2" s="117" t="s">
        <v>306</v>
      </c>
      <c r="AC2" s="117" t="s">
        <v>281</v>
      </c>
      <c r="AD2" s="117" t="s">
        <v>280</v>
      </c>
      <c r="AF2" s="117" t="s">
        <v>88</v>
      </c>
      <c r="AG2" s="117" t="s">
        <v>66</v>
      </c>
      <c r="AH2" s="117" t="s">
        <v>67</v>
      </c>
      <c r="AI2" s="117" t="s">
        <v>68</v>
      </c>
      <c r="AJ2" s="117" t="s">
        <v>88</v>
      </c>
      <c r="AK2" s="117" t="s">
        <v>66</v>
      </c>
      <c r="AL2" s="117" t="s">
        <v>88</v>
      </c>
      <c r="AM2" s="117" t="s">
        <v>307</v>
      </c>
      <c r="AO2" s="117" t="s">
        <v>110</v>
      </c>
      <c r="AP2" s="117" t="s">
        <v>120</v>
      </c>
      <c r="AR2" s="117" t="s">
        <v>308</v>
      </c>
      <c r="AS2" s="117" t="s">
        <v>309</v>
      </c>
      <c r="AT2" s="117" t="s">
        <v>301</v>
      </c>
    </row>
    <row r="3" spans="1:46" ht="16.5" customHeight="1" x14ac:dyDescent="0.6">
      <c r="A3" s="118" t="s">
        <v>310</v>
      </c>
      <c r="B3" s="110">
        <v>185000</v>
      </c>
      <c r="D3" s="118" t="s">
        <v>311</v>
      </c>
      <c r="E3" s="110">
        <v>208189.07439337199</v>
      </c>
      <c r="F3" s="110">
        <v>64759.813953488403</v>
      </c>
      <c r="H3" s="118" t="s">
        <v>312</v>
      </c>
      <c r="I3" s="119">
        <v>434.17831464737799</v>
      </c>
      <c r="J3" s="119">
        <v>124.38201599999999</v>
      </c>
      <c r="K3" s="118" t="s">
        <v>313</v>
      </c>
      <c r="N3" s="118" t="s">
        <v>66</v>
      </c>
      <c r="O3" s="112">
        <v>1229217.3146309699</v>
      </c>
      <c r="P3" s="111">
        <v>5.0363500608804401E-2</v>
      </c>
      <c r="Q3" s="119">
        <v>2.5</v>
      </c>
      <c r="S3" s="112">
        <v>1453488.79647459</v>
      </c>
      <c r="T3" s="112">
        <v>2049290.76196612</v>
      </c>
      <c r="U3" s="112">
        <v>2645092.72745765</v>
      </c>
      <c r="AC3" s="112">
        <v>2155537.1119661201</v>
      </c>
      <c r="AD3" s="111">
        <v>7.3820061156919095E-2</v>
      </c>
      <c r="AF3" s="120">
        <v>0</v>
      </c>
      <c r="AG3" s="110">
        <v>-333917.09999999998</v>
      </c>
      <c r="AH3" s="110">
        <v>-303561</v>
      </c>
      <c r="AI3" s="110">
        <v>-273204.90000000002</v>
      </c>
      <c r="AJ3" s="120">
        <v>0</v>
      </c>
      <c r="AK3" s="110">
        <v>-333917.09999999998</v>
      </c>
      <c r="AL3" s="110">
        <v>-303561</v>
      </c>
      <c r="AM3" s="110">
        <v>0</v>
      </c>
      <c r="AO3" s="118" t="s">
        <v>314</v>
      </c>
      <c r="AP3" s="119">
        <v>1.5969045717107999</v>
      </c>
      <c r="AR3" s="118" t="s">
        <v>311</v>
      </c>
      <c r="AS3" s="119">
        <v>1</v>
      </c>
      <c r="AT3" s="119">
        <v>0.31106250000000002</v>
      </c>
    </row>
    <row r="4" spans="1:46" ht="16.5" customHeight="1" x14ac:dyDescent="0.6">
      <c r="A4" s="118" t="s">
        <v>315</v>
      </c>
      <c r="B4" s="110">
        <v>5000</v>
      </c>
      <c r="D4" s="118" t="s">
        <v>316</v>
      </c>
      <c r="E4" s="110">
        <v>38500</v>
      </c>
      <c r="F4" s="110">
        <v>14500</v>
      </c>
      <c r="H4" s="118" t="s">
        <v>317</v>
      </c>
      <c r="I4" s="120">
        <v>223803.254972875</v>
      </c>
      <c r="J4" s="120">
        <v>0</v>
      </c>
      <c r="K4" s="118" t="s">
        <v>318</v>
      </c>
      <c r="N4" s="118" t="s">
        <v>67</v>
      </c>
      <c r="O4" s="112">
        <v>2079646.8619661201</v>
      </c>
      <c r="P4" s="111">
        <v>5.4941393973791101E-2</v>
      </c>
      <c r="Q4" s="119">
        <v>1.5969045717107999</v>
      </c>
      <c r="S4" s="112">
        <v>1483844.8964745901</v>
      </c>
      <c r="T4" s="112">
        <v>2079646.8619661201</v>
      </c>
      <c r="U4" s="112">
        <v>2675448.8274576501</v>
      </c>
      <c r="AC4" s="112">
        <v>2003756.6119661201</v>
      </c>
      <c r="AD4" s="111">
        <v>4.05452804622091E-2</v>
      </c>
      <c r="AF4" s="120">
        <v>1</v>
      </c>
      <c r="AG4" s="110">
        <v>-192470.60074057701</v>
      </c>
      <c r="AH4" s="110">
        <v>-111473.16149954899</v>
      </c>
      <c r="AI4" s="110">
        <v>-28564.728324897402</v>
      </c>
      <c r="AJ4" s="120">
        <v>1</v>
      </c>
      <c r="AK4" s="110">
        <v>155591.14918536501</v>
      </c>
      <c r="AL4" s="120">
        <v>1</v>
      </c>
      <c r="AM4" s="110">
        <v>207454.86558048701</v>
      </c>
      <c r="AO4" s="118" t="s">
        <v>319</v>
      </c>
      <c r="AP4" s="119">
        <v>3</v>
      </c>
      <c r="AR4" s="118" t="s">
        <v>316</v>
      </c>
      <c r="AS4" s="119">
        <v>0.18492805211888499</v>
      </c>
      <c r="AT4" s="119">
        <v>6.9648227421398298E-2</v>
      </c>
    </row>
    <row r="5" spans="1:46" ht="16.5" customHeight="1" x14ac:dyDescent="0.6">
      <c r="A5" s="118" t="s">
        <v>320</v>
      </c>
      <c r="B5" s="110">
        <v>22000</v>
      </c>
      <c r="D5" s="118" t="s">
        <v>321</v>
      </c>
      <c r="E5" s="110">
        <v>28170.697674418599</v>
      </c>
      <c r="F5" s="110">
        <v>3940</v>
      </c>
      <c r="H5" s="118" t="s">
        <v>322</v>
      </c>
      <c r="I5" s="120">
        <v>13940.833439132</v>
      </c>
      <c r="K5" s="118" t="s">
        <v>323</v>
      </c>
      <c r="N5" s="118" t="s">
        <v>68</v>
      </c>
      <c r="O5" s="112">
        <v>3163697.4451926202</v>
      </c>
      <c r="P5" s="111">
        <v>5.6528392607774598E-2</v>
      </c>
      <c r="Q5" s="119">
        <v>1.2</v>
      </c>
      <c r="S5" s="112">
        <v>1514200.9964745899</v>
      </c>
      <c r="T5" s="112">
        <v>2110002.9619661202</v>
      </c>
      <c r="U5" s="112">
        <v>2705804.9274576502</v>
      </c>
      <c r="AC5" s="112">
        <v>1483844.8964745901</v>
      </c>
      <c r="AD5" s="111">
        <v>3.6421347116958699E-2</v>
      </c>
      <c r="AF5" s="120">
        <v>2</v>
      </c>
      <c r="AG5" s="110">
        <v>-57453.487811127903</v>
      </c>
      <c r="AH5" s="110">
        <v>75278.903709222694</v>
      </c>
      <c r="AI5" s="110">
        <v>213767.517202327</v>
      </c>
      <c r="AJ5" s="120">
        <v>2</v>
      </c>
      <c r="AK5" s="110">
        <v>163370.70664463399</v>
      </c>
      <c r="AL5" s="120">
        <v>2</v>
      </c>
      <c r="AM5" s="110">
        <v>425282.47443999798</v>
      </c>
      <c r="AO5" s="118" t="s">
        <v>324</v>
      </c>
      <c r="AP5" s="119">
        <v>10</v>
      </c>
      <c r="AR5" s="118" t="s">
        <v>325</v>
      </c>
      <c r="AS5" s="119">
        <v>0.13531304539637001</v>
      </c>
      <c r="AT5" s="119">
        <v>1.8925104554504101E-2</v>
      </c>
    </row>
    <row r="6" spans="1:46" ht="16.5" customHeight="1" x14ac:dyDescent="0.6">
      <c r="A6" s="118" t="s">
        <v>326</v>
      </c>
      <c r="B6" s="110">
        <v>24075</v>
      </c>
      <c r="D6" s="118" t="s">
        <v>327</v>
      </c>
      <c r="E6" s="110">
        <v>2790.6976744185999</v>
      </c>
      <c r="F6" s="110">
        <v>0</v>
      </c>
      <c r="AC6" s="112">
        <v>2675448.8274576501</v>
      </c>
      <c r="AD6" s="111">
        <v>6.95532683541773E-2</v>
      </c>
      <c r="AF6" s="120">
        <v>3</v>
      </c>
      <c r="AG6" s="110">
        <v>71426.483621528096</v>
      </c>
      <c r="AH6" s="110">
        <v>256843.41155108399</v>
      </c>
      <c r="AI6" s="110">
        <v>453813.60946985998</v>
      </c>
      <c r="AJ6" s="120">
        <v>3</v>
      </c>
      <c r="AK6" s="110">
        <v>171539.24197686501</v>
      </c>
      <c r="AL6" s="120">
        <v>3</v>
      </c>
      <c r="AM6" s="110">
        <v>654001.46374248504</v>
      </c>
      <c r="AO6" s="118" t="s">
        <v>328</v>
      </c>
      <c r="AP6" s="119">
        <v>5</v>
      </c>
      <c r="AR6" s="118" t="s">
        <v>327</v>
      </c>
      <c r="AS6" s="119">
        <v>1.34046307787775E-2</v>
      </c>
      <c r="AT6" s="119">
        <v>0</v>
      </c>
    </row>
    <row r="7" spans="1:46" ht="16.5" customHeight="1" x14ac:dyDescent="0.6">
      <c r="A7" s="118" t="s">
        <v>329</v>
      </c>
      <c r="B7" s="110">
        <v>5000</v>
      </c>
      <c r="D7" s="118" t="s">
        <v>330</v>
      </c>
      <c r="E7" s="110">
        <v>7700</v>
      </c>
      <c r="F7" s="110">
        <v>4900</v>
      </c>
      <c r="AC7" s="112">
        <v>2445960.8761540898</v>
      </c>
      <c r="AD7" s="111">
        <v>3.4941393973791098E-2</v>
      </c>
      <c r="AF7" s="120">
        <v>4</v>
      </c>
      <c r="AG7" s="110">
        <v>194448.27453451799</v>
      </c>
      <c r="AH7" s="110">
        <v>433364.46084178297</v>
      </c>
      <c r="AI7" s="110">
        <v>691595.11596128496</v>
      </c>
      <c r="AJ7" s="120">
        <v>4</v>
      </c>
      <c r="AK7" s="110">
        <v>180116.20407570901</v>
      </c>
      <c r="AL7" s="120">
        <v>4</v>
      </c>
      <c r="AM7" s="110">
        <v>894156.40251009702</v>
      </c>
      <c r="AR7" s="118" t="s">
        <v>331</v>
      </c>
      <c r="AS7" s="119">
        <v>3.6985610423777002E-2</v>
      </c>
      <c r="AT7" s="119">
        <v>2.3536297542403599E-2</v>
      </c>
    </row>
    <row r="8" spans="1:46" ht="16.5" customHeight="1" x14ac:dyDescent="0.6">
      <c r="A8" s="118" t="s">
        <v>332</v>
      </c>
      <c r="B8" s="110">
        <v>25000</v>
      </c>
      <c r="D8" s="118" t="s">
        <v>333</v>
      </c>
      <c r="E8" s="110">
        <v>12354.457866184501</v>
      </c>
      <c r="F8" s="110">
        <v>3359.5504000000001</v>
      </c>
      <c r="AC8" s="112">
        <v>1780618.2195079599</v>
      </c>
      <c r="AD8" s="111">
        <v>7.4941393973791098E-2</v>
      </c>
      <c r="AF8" s="120">
        <v>5</v>
      </c>
      <c r="AG8" s="110">
        <v>311878.16586055403</v>
      </c>
      <c r="AH8" s="110">
        <v>604982.14765218401</v>
      </c>
      <c r="AI8" s="110">
        <v>927133.40069335699</v>
      </c>
      <c r="AJ8" s="120">
        <v>5</v>
      </c>
      <c r="AK8" s="110">
        <v>189122.014279494</v>
      </c>
      <c r="AL8" s="120">
        <v>5</v>
      </c>
      <c r="AM8" s="110">
        <v>1146319.0882160901</v>
      </c>
      <c r="AR8" s="118" t="s">
        <v>333</v>
      </c>
      <c r="AS8" s="119">
        <v>5.9342489043592898E-2</v>
      </c>
      <c r="AT8" s="119">
        <v>1.6137015882265501E-2</v>
      </c>
    </row>
    <row r="9" spans="1:46" ht="16.5" customHeight="1" x14ac:dyDescent="0.6">
      <c r="A9" s="118" t="s">
        <v>334</v>
      </c>
      <c r="B9" s="110">
        <v>15000</v>
      </c>
      <c r="AC9" s="112">
        <v>2079646.8619661201</v>
      </c>
      <c r="AD9" s="111">
        <v>5.4941393973791101E-2</v>
      </c>
      <c r="AF9" s="120">
        <v>6</v>
      </c>
      <c r="AG9" s="110">
        <v>423970.33485358802</v>
      </c>
      <c r="AH9" s="110">
        <v>771832.67649562994</v>
      </c>
      <c r="AI9" s="110">
        <v>1160449.6261354999</v>
      </c>
      <c r="AJ9" s="120">
        <v>6</v>
      </c>
      <c r="AK9" s="110">
        <v>198578.114993469</v>
      </c>
      <c r="AL9" s="120">
        <v>6</v>
      </c>
      <c r="AM9" s="110">
        <v>1411089.90820738</v>
      </c>
    </row>
    <row r="10" spans="1:46" ht="16.5" customHeight="1" x14ac:dyDescent="0.6">
      <c r="AC10" s="112">
        <v>2079646.8619661201</v>
      </c>
      <c r="AD10" s="111">
        <v>5.4941393973791101E-2</v>
      </c>
      <c r="AF10" s="120">
        <v>7</v>
      </c>
      <c r="AG10" s="110">
        <v>530967.40525603003</v>
      </c>
      <c r="AH10" s="110">
        <v>934048.46842675796</v>
      </c>
      <c r="AI10" s="110">
        <v>1391564.75511121</v>
      </c>
      <c r="AJ10" s="120">
        <v>7</v>
      </c>
      <c r="AK10" s="110">
        <v>208507.020743142</v>
      </c>
      <c r="AL10" s="120">
        <v>7</v>
      </c>
      <c r="AM10" s="110">
        <v>1689099.26919824</v>
      </c>
    </row>
    <row r="11" spans="1:46" ht="16.5" customHeight="1" x14ac:dyDescent="0.6">
      <c r="AC11" s="112">
        <v>1483844.8964745901</v>
      </c>
      <c r="AD11" s="111">
        <v>3.6421347116958699E-2</v>
      </c>
      <c r="AF11" s="120">
        <v>8</v>
      </c>
      <c r="AG11" s="110">
        <v>633100.97245836002</v>
      </c>
      <c r="AH11" s="110">
        <v>1091758.2661375799</v>
      </c>
      <c r="AI11" s="110">
        <v>1620499.5526814901</v>
      </c>
      <c r="AJ11" s="120">
        <v>8</v>
      </c>
      <c r="AK11" s="110">
        <v>218932.371780299</v>
      </c>
      <c r="AL11" s="120">
        <v>8</v>
      </c>
      <c r="AM11" s="110">
        <v>1981009.09823864</v>
      </c>
    </row>
    <row r="12" spans="1:46" ht="16.5" customHeight="1" x14ac:dyDescent="0.6">
      <c r="AC12" s="112">
        <v>2675448.8274576501</v>
      </c>
      <c r="AD12" s="111">
        <v>6.95532683541773E-2</v>
      </c>
      <c r="AF12" s="120">
        <v>9</v>
      </c>
      <c r="AG12" s="110">
        <v>730592.10478785797</v>
      </c>
      <c r="AH12" s="110">
        <v>1245087.2361342099</v>
      </c>
      <c r="AI12" s="110">
        <v>1847274.58801055</v>
      </c>
      <c r="AJ12" s="120">
        <v>9</v>
      </c>
      <c r="AK12" s="110">
        <v>229878.99036931401</v>
      </c>
      <c r="AL12" s="120">
        <v>9</v>
      </c>
      <c r="AM12" s="110">
        <v>2287514.4187310501</v>
      </c>
    </row>
    <row r="13" spans="1:46" ht="16.5" customHeight="1" x14ac:dyDescent="0.6">
      <c r="AF13" s="120">
        <v>10</v>
      </c>
      <c r="AG13" s="110">
        <v>823651.82201146905</v>
      </c>
      <c r="AH13" s="110">
        <v>1394157.06807537</v>
      </c>
      <c r="AI13" s="110">
        <v>2071910.2362138501</v>
      </c>
      <c r="AJ13" s="120">
        <v>10</v>
      </c>
      <c r="AK13" s="110">
        <v>241372.93988778</v>
      </c>
      <c r="AL13" s="120">
        <v>10</v>
      </c>
      <c r="AM13" s="110">
        <v>2609345.0052480898</v>
      </c>
    </row>
    <row r="14" spans="1:46" ht="16.5" customHeight="1" x14ac:dyDescent="0.6">
      <c r="AF14" s="120">
        <v>11</v>
      </c>
      <c r="AG14" s="110">
        <v>912481.55208855204</v>
      </c>
      <c r="AH14" s="110">
        <v>1539086.07135151</v>
      </c>
      <c r="AI14" s="110">
        <v>2294426.6801888202</v>
      </c>
      <c r="AJ14" s="120">
        <v>11</v>
      </c>
      <c r="AK14" s="110">
        <v>253441.58688216901</v>
      </c>
      <c r="AL14" s="120">
        <v>11</v>
      </c>
      <c r="AM14" s="110">
        <v>2947267.12109099</v>
      </c>
    </row>
    <row r="15" spans="1:46" ht="16.5" customHeight="1" x14ac:dyDescent="0.6">
      <c r="AF15" s="120">
        <v>12</v>
      </c>
      <c r="AG15" s="110">
        <v>997273.56716213201</v>
      </c>
      <c r="AH15" s="110">
        <v>1679989.26898108</v>
      </c>
      <c r="AI15" s="110">
        <v>2514843.9124281802</v>
      </c>
      <c r="AJ15" s="120">
        <v>12</v>
      </c>
      <c r="AK15" s="110">
        <v>266113.66622627701</v>
      </c>
      <c r="AL15" s="120">
        <v>12</v>
      </c>
      <c r="AM15" s="110">
        <v>3302085.3427260201</v>
      </c>
    </row>
    <row r="16" spans="1:46" ht="16.5" customHeight="1" x14ac:dyDescent="0.6">
      <c r="AF16" s="120">
        <v>13</v>
      </c>
      <c r="AG16" s="110">
        <v>1078211.3997323699</v>
      </c>
      <c r="AH16" s="110">
        <v>1816978.4888987299</v>
      </c>
      <c r="AI16" s="110">
        <v>2733181.7368162302</v>
      </c>
      <c r="AJ16" s="120">
        <v>13</v>
      </c>
      <c r="AK16" s="110">
        <v>279419.34953759098</v>
      </c>
      <c r="AL16" s="120">
        <v>13</v>
      </c>
      <c r="AM16" s="110">
        <v>3674644.47544281</v>
      </c>
    </row>
    <row r="17" spans="32:39" ht="16.5" customHeight="1" x14ac:dyDescent="0.6">
      <c r="AF17" s="120">
        <v>14</v>
      </c>
      <c r="AG17" s="110">
        <v>1155470.2399130501</v>
      </c>
      <c r="AH17" s="110">
        <v>1950162.45270755</v>
      </c>
      <c r="AI17" s="110">
        <v>2949459.7704081601</v>
      </c>
      <c r="AJ17" s="120">
        <v>14</v>
      </c>
      <c r="AK17" s="110">
        <v>293390.31701447099</v>
      </c>
      <c r="AL17" s="120">
        <v>14</v>
      </c>
      <c r="AM17" s="110">
        <v>4065831.5647954401</v>
      </c>
    </row>
    <row r="18" spans="32:39" ht="16.5" customHeight="1" x14ac:dyDescent="0.6">
      <c r="AF18" s="120">
        <v>15</v>
      </c>
      <c r="AG18" s="110">
        <v>1229217.3146309699</v>
      </c>
      <c r="AH18" s="110">
        <v>2079646.8619661201</v>
      </c>
      <c r="AI18" s="110">
        <v>3163697.4451926202</v>
      </c>
      <c r="AJ18" s="120">
        <v>15</v>
      </c>
      <c r="AK18" s="110">
        <v>308059.83286519401</v>
      </c>
      <c r="AL18" s="120">
        <v>15</v>
      </c>
      <c r="AM18" s="110">
        <v>4476578.0086156996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7"/>
  <sheetViews>
    <sheetView zoomScaleNormal="100" workbookViewId="0"/>
  </sheetViews>
  <sheetFormatPr baseColWidth="10" defaultColWidth="8.6640625" defaultRowHeight="14.25" x14ac:dyDescent="0.45"/>
  <sheetData>
    <row r="1" spans="1:10" ht="15" customHeight="1" x14ac:dyDescent="0.45">
      <c r="A1" t="s">
        <v>296</v>
      </c>
      <c r="B1" t="s">
        <v>199</v>
      </c>
      <c r="D1" t="s">
        <v>126</v>
      </c>
      <c r="E1" t="s">
        <v>21</v>
      </c>
      <c r="F1" t="s">
        <v>22</v>
      </c>
      <c r="G1" t="s">
        <v>302</v>
      </c>
      <c r="I1" t="s">
        <v>88</v>
      </c>
      <c r="J1" t="s">
        <v>335</v>
      </c>
    </row>
    <row r="2" spans="1:10" ht="15" customHeight="1" x14ac:dyDescent="0.45">
      <c r="A2" t="s">
        <v>310</v>
      </c>
      <c r="B2" s="121">
        <f>_AUX!B5</f>
        <v>22000</v>
      </c>
      <c r="D2" t="s">
        <v>66</v>
      </c>
      <c r="E2" s="122">
        <f>_AUX!O3</f>
        <v>1229217.3146309699</v>
      </c>
      <c r="F2" s="123">
        <f>_AUX!P3</f>
        <v>5.0363500608804401E-2</v>
      </c>
      <c r="G2" s="124">
        <f>_AUX!Q3</f>
        <v>2.5</v>
      </c>
      <c r="I2">
        <v>0</v>
      </c>
      <c r="J2" s="125">
        <f>CF_MODEL!B10</f>
        <v>-384561</v>
      </c>
    </row>
    <row r="3" spans="1:10" ht="15" customHeight="1" x14ac:dyDescent="0.45">
      <c r="A3" t="s">
        <v>315</v>
      </c>
      <c r="B3" s="121">
        <f>_AUX!B6</f>
        <v>24075</v>
      </c>
      <c r="D3" t="s">
        <v>67</v>
      </c>
      <c r="E3" s="126">
        <f>INDICADORES!B4</f>
        <v>2004916.2285840025</v>
      </c>
      <c r="F3" s="127">
        <f>INDICADORES!B5</f>
        <v>0.58980460137197621</v>
      </c>
      <c r="G3" s="128">
        <f>INDICADORES!B6</f>
        <v>2.0259528050251987</v>
      </c>
      <c r="I3">
        <v>1</v>
      </c>
      <c r="J3" s="125">
        <f>CF_MODEL!C10</f>
        <v>-191967.84717023067</v>
      </c>
    </row>
    <row r="4" spans="1:10" ht="15" customHeight="1" x14ac:dyDescent="0.45">
      <c r="A4" t="s">
        <v>320</v>
      </c>
      <c r="B4" s="121">
        <f>_AUX!B7</f>
        <v>5000</v>
      </c>
      <c r="D4" t="s">
        <v>68</v>
      </c>
      <c r="E4" s="122">
        <f>_AUX!O5</f>
        <v>3163697.4451926202</v>
      </c>
      <c r="F4" s="123">
        <f>_AUX!P5</f>
        <v>5.6528392607774598E-2</v>
      </c>
      <c r="G4" s="124">
        <f>_AUX!Q5</f>
        <v>1.2</v>
      </c>
      <c r="I4">
        <v>2</v>
      </c>
      <c r="J4" s="125">
        <f>CF_MODEL!D10</f>
        <v>-4724.5041412882856</v>
      </c>
    </row>
    <row r="5" spans="1:10" ht="15" customHeight="1" x14ac:dyDescent="0.45">
      <c r="A5" t="s">
        <v>326</v>
      </c>
      <c r="B5" s="121">
        <f>_AUX!B8</f>
        <v>25000</v>
      </c>
      <c r="I5">
        <v>3</v>
      </c>
      <c r="J5" s="125">
        <f>CF_MODEL!E10</f>
        <v>177317.63491462791</v>
      </c>
    </row>
    <row r="6" spans="1:10" ht="15" customHeight="1" x14ac:dyDescent="0.45">
      <c r="A6" t="s">
        <v>329</v>
      </c>
      <c r="B6" s="121">
        <f>_AUX!B9</f>
        <v>15000</v>
      </c>
      <c r="I6">
        <v>4</v>
      </c>
      <c r="J6" s="125">
        <f>CF_MODEL!F10</f>
        <v>354303.04788565752</v>
      </c>
    </row>
    <row r="7" spans="1:10" ht="15" customHeight="1" x14ac:dyDescent="0.45">
      <c r="A7" t="s">
        <v>332</v>
      </c>
      <c r="B7">
        <f>_AUX!B10</f>
        <v>0</v>
      </c>
      <c r="I7">
        <v>5</v>
      </c>
      <c r="J7" s="125">
        <f>CF_MODEL!G10</f>
        <v>526372.19938526966</v>
      </c>
    </row>
    <row r="8" spans="1:10" ht="15" customHeight="1" x14ac:dyDescent="0.45">
      <c r="A8" t="s">
        <v>334</v>
      </c>
      <c r="B8">
        <f>_AUX!B11</f>
        <v>0</v>
      </c>
      <c r="I8">
        <v>6</v>
      </c>
      <c r="J8" s="125">
        <f>CF_MODEL!H10</f>
        <v>693661.65223211481</v>
      </c>
    </row>
    <row r="9" spans="1:10" ht="15" customHeight="1" x14ac:dyDescent="0.45">
      <c r="I9">
        <v>7</v>
      </c>
      <c r="J9" s="125">
        <f>CF_MODEL!I10</f>
        <v>856304.17583321419</v>
      </c>
    </row>
    <row r="10" spans="1:10" ht="15" customHeight="1" x14ac:dyDescent="0.45">
      <c r="I10">
        <v>8</v>
      </c>
      <c r="J10" s="125">
        <f>CF_MODEL!J10</f>
        <v>1014428.8515565053</v>
      </c>
    </row>
    <row r="11" spans="1:10" ht="15" customHeight="1" x14ac:dyDescent="0.45">
      <c r="I11">
        <v>9</v>
      </c>
      <c r="J11" s="125">
        <f>CF_MODEL!K10</f>
        <v>1168161.1751763716</v>
      </c>
    </row>
    <row r="12" spans="1:10" ht="15" customHeight="1" x14ac:dyDescent="0.45">
      <c r="I12">
        <v>10</v>
      </c>
      <c r="J12" s="125">
        <f>CF_MODEL!L10</f>
        <v>1317623.1564734639</v>
      </c>
    </row>
    <row r="13" spans="1:10" ht="15" customHeight="1" x14ac:dyDescent="0.45">
      <c r="I13">
        <v>11</v>
      </c>
      <c r="J13" s="125">
        <f>CF_MODEL!M10</f>
        <v>1462933.4160678592</v>
      </c>
    </row>
    <row r="14" spans="1:10" ht="15" customHeight="1" x14ac:dyDescent="0.45">
      <c r="I14">
        <v>12</v>
      </c>
      <c r="J14" s="125">
        <f>CF_MODEL!N10</f>
        <v>1604207.2795624102</v>
      </c>
    </row>
    <row r="15" spans="1:10" ht="15" customHeight="1" x14ac:dyDescent="0.45">
      <c r="I15">
        <v>13</v>
      </c>
      <c r="J15" s="125">
        <f>CF_MODEL!O10</f>
        <v>1741556.8690710014</v>
      </c>
    </row>
    <row r="16" spans="1:10" ht="15" customHeight="1" x14ac:dyDescent="0.45">
      <c r="I16">
        <v>14</v>
      </c>
      <c r="J16" s="125">
        <f>CF_MODEL!P10</f>
        <v>1875091.1922043541</v>
      </c>
    </row>
    <row r="17" spans="1:10" ht="15" customHeight="1" x14ac:dyDescent="0.45">
      <c r="I17">
        <v>15</v>
      </c>
      <c r="J17" s="125">
        <f>CF_MODEL!Q10</f>
        <v>2004916.2285840025</v>
      </c>
    </row>
    <row r="20" spans="1:10" ht="15" customHeight="1" x14ac:dyDescent="0.45">
      <c r="A20" t="s">
        <v>88</v>
      </c>
      <c r="B20" t="s">
        <v>336</v>
      </c>
      <c r="C20" t="s">
        <v>337</v>
      </c>
      <c r="E20" t="s">
        <v>265</v>
      </c>
      <c r="F20" t="s">
        <v>338</v>
      </c>
      <c r="G20" t="s">
        <v>339</v>
      </c>
    </row>
    <row r="21" spans="1:10" ht="15" customHeight="1" x14ac:dyDescent="0.45">
      <c r="A21">
        <v>0</v>
      </c>
      <c r="B21" s="125">
        <f>CF_MODEL!B9</f>
        <v>-384561</v>
      </c>
      <c r="C21" s="125">
        <f>CF_MODEL!B10</f>
        <v>-384561</v>
      </c>
      <c r="E21" t="s">
        <v>24</v>
      </c>
      <c r="F21" s="126">
        <f>SENS!B29</f>
        <v>96140.249999999767</v>
      </c>
      <c r="G21" s="126">
        <f>SENS!C29</f>
        <v>-96140.25</v>
      </c>
    </row>
    <row r="22" spans="1:10" ht="15" customHeight="1" x14ac:dyDescent="0.45">
      <c r="A22">
        <v>1</v>
      </c>
      <c r="B22" s="125">
        <f>CF_MODEL!C9</f>
        <v>192593.15282976933</v>
      </c>
      <c r="C22" s="125">
        <f>CF_MODEL!C10</f>
        <v>-191967.84717023067</v>
      </c>
      <c r="E22" t="s">
        <v>274</v>
      </c>
      <c r="F22" s="126">
        <f>SENS!B30</f>
        <v>-597369.30714600044</v>
      </c>
      <c r="G22" s="126">
        <f>SENS!C30</f>
        <v>597369.30714600044</v>
      </c>
    </row>
    <row r="23" spans="1:10" ht="15" customHeight="1" x14ac:dyDescent="0.45">
      <c r="A23">
        <v>2</v>
      </c>
      <c r="B23" s="125">
        <f>CF_MODEL!D9</f>
        <v>187243.34302894238</v>
      </c>
      <c r="C23" s="125">
        <f>CF_MODEL!D10</f>
        <v>-4724.5041412882856</v>
      </c>
      <c r="E23" t="s">
        <v>275</v>
      </c>
      <c r="F23" s="126">
        <f>SENS!B31</f>
        <v>367277.65520680998</v>
      </c>
      <c r="G23" s="126">
        <f>SENS!C31</f>
        <v>-299815.27975436486</v>
      </c>
    </row>
    <row r="24" spans="1:10" ht="15" customHeight="1" x14ac:dyDescent="0.45">
      <c r="A24">
        <v>3</v>
      </c>
      <c r="B24" s="125">
        <f>CF_MODEL!E9</f>
        <v>182042.1390559162</v>
      </c>
      <c r="C24" s="125">
        <f>CF_MODEL!E10</f>
        <v>177317.63491462791</v>
      </c>
      <c r="E24" t="s">
        <v>276</v>
      </c>
      <c r="F24" s="126">
        <f>SENS!B32</f>
        <v>-175383.12772660865</v>
      </c>
      <c r="G24" s="126">
        <f>SENS!C32</f>
        <v>193672.68373597716</v>
      </c>
    </row>
    <row r="25" spans="1:10" ht="15" customHeight="1" x14ac:dyDescent="0.45">
      <c r="A25">
        <v>4</v>
      </c>
      <c r="B25" s="125">
        <f>CF_MODEL!F9</f>
        <v>176985.41297102964</v>
      </c>
      <c r="C25" s="125">
        <f>CF_MODEL!F10</f>
        <v>354303.04788565752</v>
      </c>
      <c r="E25" t="s">
        <v>277</v>
      </c>
      <c r="F25" s="126">
        <f>SENS!B33</f>
        <v>-597369.30714600044</v>
      </c>
      <c r="G25" s="126">
        <f>SENS!C33</f>
        <v>597369.30714600044</v>
      </c>
    </row>
    <row r="26" spans="1:10" ht="15" customHeight="1" x14ac:dyDescent="0.45">
      <c r="A26">
        <v>5</v>
      </c>
      <c r="B26" s="125">
        <f>CF_MODEL!G9</f>
        <v>172069.15149961217</v>
      </c>
      <c r="C26" s="125">
        <f>CF_MODEL!G10</f>
        <v>526372.19938526966</v>
      </c>
    </row>
    <row r="27" spans="1:10" ht="15" customHeight="1" x14ac:dyDescent="0.45">
      <c r="A27">
        <v>6</v>
      </c>
      <c r="B27" s="125">
        <f>CF_MODEL!H9</f>
        <v>167289.45284684512</v>
      </c>
      <c r="C27" s="125">
        <f>CF_MODEL!H10</f>
        <v>693661.65223211481</v>
      </c>
    </row>
    <row r="28" spans="1:10" ht="15" customHeight="1" x14ac:dyDescent="0.45">
      <c r="A28">
        <v>7</v>
      </c>
      <c r="B28" s="125">
        <f>CF_MODEL!I9</f>
        <v>162642.52360109941</v>
      </c>
      <c r="C28" s="125">
        <f>CF_MODEL!I10</f>
        <v>856304.17583321419</v>
      </c>
    </row>
    <row r="29" spans="1:10" ht="15" customHeight="1" x14ac:dyDescent="0.45">
      <c r="A29">
        <v>8</v>
      </c>
      <c r="B29" s="125">
        <f>CF_MODEL!J9</f>
        <v>158124.67572329112</v>
      </c>
      <c r="C29" s="125">
        <f>CF_MODEL!J10</f>
        <v>1014428.8515565053</v>
      </c>
    </row>
    <row r="30" spans="1:10" ht="15" customHeight="1" x14ac:dyDescent="0.45">
      <c r="A30">
        <v>9</v>
      </c>
      <c r="B30" s="125">
        <f>CF_MODEL!K9</f>
        <v>153732.32361986637</v>
      </c>
      <c r="C30" s="125">
        <f>CF_MODEL!K10</f>
        <v>1168161.1751763716</v>
      </c>
    </row>
    <row r="31" spans="1:10" ht="15" customHeight="1" x14ac:dyDescent="0.45">
      <c r="A31">
        <v>10</v>
      </c>
      <c r="B31" s="125">
        <f>CF_MODEL!L9</f>
        <v>149461.98129709231</v>
      </c>
      <c r="C31" s="125">
        <f>CF_MODEL!L10</f>
        <v>1317623.1564734639</v>
      </c>
    </row>
    <row r="32" spans="1:10" ht="15" customHeight="1" x14ac:dyDescent="0.45">
      <c r="A32">
        <v>11</v>
      </c>
      <c r="B32" s="125">
        <f>CF_MODEL!M9</f>
        <v>145310.25959439532</v>
      </c>
      <c r="C32" s="125">
        <f>CF_MODEL!M10</f>
        <v>1462933.4160678592</v>
      </c>
    </row>
    <row r="33" spans="1:10" ht="15" customHeight="1" x14ac:dyDescent="0.45">
      <c r="A33">
        <v>12</v>
      </c>
      <c r="B33" s="125">
        <f>CF_MODEL!N9</f>
        <v>141273.86349455098</v>
      </c>
      <c r="C33" s="125">
        <f>CF_MODEL!N10</f>
        <v>1604207.2795624102</v>
      </c>
    </row>
    <row r="34" spans="1:10" ht="15" customHeight="1" x14ac:dyDescent="0.45">
      <c r="A34">
        <v>13</v>
      </c>
      <c r="B34" s="125">
        <f>CF_MODEL!O9</f>
        <v>137349.58950859125</v>
      </c>
      <c r="C34" s="125">
        <f>CF_MODEL!O10</f>
        <v>1741556.8690710014</v>
      </c>
    </row>
    <row r="35" spans="1:10" ht="15" customHeight="1" x14ac:dyDescent="0.45">
      <c r="A35">
        <v>14</v>
      </c>
      <c r="B35" s="125">
        <f>CF_MODEL!P9</f>
        <v>133534.32313335259</v>
      </c>
      <c r="C35" s="125">
        <f>CF_MODEL!P10</f>
        <v>1875091.1922043541</v>
      </c>
    </row>
    <row r="36" spans="1:10" ht="15" customHeight="1" x14ac:dyDescent="0.45">
      <c r="A36">
        <v>15</v>
      </c>
      <c r="B36" s="125">
        <f>CF_MODEL!Q9</f>
        <v>129825.03637964833</v>
      </c>
      <c r="C36" s="125">
        <f>CF_MODEL!Q10</f>
        <v>2004916.2285840025</v>
      </c>
    </row>
    <row r="40" spans="1:10" ht="15" customHeight="1" x14ac:dyDescent="0.45">
      <c r="A40" t="s">
        <v>298</v>
      </c>
      <c r="B40" t="s">
        <v>309</v>
      </c>
      <c r="C40" t="s">
        <v>340</v>
      </c>
      <c r="E40" t="s">
        <v>298</v>
      </c>
      <c r="F40" t="s">
        <v>112</v>
      </c>
      <c r="H40" t="s">
        <v>308</v>
      </c>
      <c r="I40" t="s">
        <v>309</v>
      </c>
      <c r="J40" t="s">
        <v>301</v>
      </c>
    </row>
    <row r="41" spans="1:10" ht="15" customHeight="1" x14ac:dyDescent="0.45">
      <c r="A41" t="s">
        <v>311</v>
      </c>
      <c r="B41" s="129">
        <f>OPEX_DET!B2</f>
        <v>208188.99754250579</v>
      </c>
      <c r="C41" s="129">
        <f>OPEX_DET!C2</f>
        <v>64759.81395348857</v>
      </c>
      <c r="E41" t="s">
        <v>311</v>
      </c>
      <c r="F41" s="129">
        <f>OPEX_DET!C2</f>
        <v>64759.81395348857</v>
      </c>
      <c r="H41" t="s">
        <v>311</v>
      </c>
      <c r="I41" s="124">
        <f>_AUX!AS5</f>
        <v>0.13531304539637001</v>
      </c>
      <c r="J41" s="124">
        <f>_AUX!AT5</f>
        <v>1.8925104554504101E-2</v>
      </c>
    </row>
    <row r="42" spans="1:10" ht="15" customHeight="1" x14ac:dyDescent="0.45">
      <c r="A42" t="s">
        <v>316</v>
      </c>
      <c r="B42">
        <f>OPEX_DET!B3+OPEX_DET!B4+OPEX_DET!B5</f>
        <v>38892.857142857138</v>
      </c>
      <c r="C42">
        <f>OPEX_DET!C3+OPEX_DET!C4+OPEX_DET!C5</f>
        <v>14647.959183673469</v>
      </c>
      <c r="E42" t="s">
        <v>316</v>
      </c>
      <c r="F42">
        <f>OPEX_DET!C3+OPEX_DET!C4+OPEX_DET!C5</f>
        <v>14647.959183673469</v>
      </c>
      <c r="H42" t="s">
        <v>316</v>
      </c>
      <c r="I42" s="124">
        <f>_AUX!AS6</f>
        <v>1.34046307787775E-2</v>
      </c>
      <c r="J42" s="124">
        <f>_AUX!AT6</f>
        <v>0</v>
      </c>
    </row>
    <row r="43" spans="1:10" ht="15" customHeight="1" x14ac:dyDescent="0.45">
      <c r="A43" t="s">
        <v>341</v>
      </c>
      <c r="B43">
        <f>OPEX_DET!B6+OPEX_DET!B7</f>
        <v>22406.326530612241</v>
      </c>
      <c r="C43">
        <f>OPEX_DET!C6+OPEX_DET!C7</f>
        <v>2161.8367346938771</v>
      </c>
      <c r="E43" t="s">
        <v>341</v>
      </c>
      <c r="F43">
        <f>OPEX_DET!C6+OPEX_DET!C7</f>
        <v>2161.8367346938771</v>
      </c>
      <c r="H43" t="s">
        <v>325</v>
      </c>
      <c r="I43" s="124">
        <f>_AUX!AS7</f>
        <v>3.6985610423777002E-2</v>
      </c>
      <c r="J43" s="124">
        <f>_AUX!AT7</f>
        <v>2.3536297542403599E-2</v>
      </c>
    </row>
    <row r="44" spans="1:10" ht="15" customHeight="1" x14ac:dyDescent="0.45">
      <c r="A44" t="s">
        <v>342</v>
      </c>
      <c r="B44" s="129">
        <f>OPEX_DET!B8</f>
        <v>3232.6530612244896</v>
      </c>
      <c r="C44" s="129">
        <f>OPEX_DET!C8</f>
        <v>1818.3673469387754</v>
      </c>
      <c r="E44" t="s">
        <v>342</v>
      </c>
      <c r="F44" s="129">
        <f>OPEX_DET!C8</f>
        <v>1818.3673469387754</v>
      </c>
      <c r="H44" t="s">
        <v>327</v>
      </c>
      <c r="I44" s="124">
        <f>_AUX!AS8</f>
        <v>5.9342489043592898E-2</v>
      </c>
      <c r="J44" s="124">
        <f>_AUX!AT8</f>
        <v>1.6137015882265501E-2</v>
      </c>
    </row>
    <row r="45" spans="1:10" ht="15" customHeight="1" x14ac:dyDescent="0.45">
      <c r="A45" t="s">
        <v>327</v>
      </c>
      <c r="B45">
        <f>OPEX_DET!B9+OPEX_DET!B10</f>
        <v>10872.330327479829</v>
      </c>
      <c r="C45">
        <f>OPEX_DET!C9+OPEX_DET!C10</f>
        <v>4040.8163265306121</v>
      </c>
      <c r="E45" t="s">
        <v>327</v>
      </c>
      <c r="F45">
        <f>OPEX_DET!C9+OPEX_DET!C10</f>
        <v>4040.8163265306121</v>
      </c>
      <c r="H45" t="s">
        <v>331</v>
      </c>
      <c r="I45">
        <f>_AUX!AS9</f>
        <v>0</v>
      </c>
      <c r="J45">
        <f>_AUX!AT9</f>
        <v>0</v>
      </c>
    </row>
    <row r="46" spans="1:10" ht="15" customHeight="1" x14ac:dyDescent="0.45">
      <c r="A46" t="s">
        <v>343</v>
      </c>
      <c r="B46">
        <f>OPEX_DET!B11+OPEX_DET!B12</f>
        <v>7778.5714285714275</v>
      </c>
      <c r="C46">
        <f>OPEX_DET!C11+OPEX_DET!C12</f>
        <v>4950</v>
      </c>
      <c r="E46" t="s">
        <v>343</v>
      </c>
      <c r="F46">
        <f>OPEX_DET!C11+OPEX_DET!C12</f>
        <v>4950</v>
      </c>
      <c r="H46" t="s">
        <v>333</v>
      </c>
      <c r="I46">
        <f>_AUX!AS10</f>
        <v>0</v>
      </c>
      <c r="J46">
        <f>_AUX!AT10</f>
        <v>0</v>
      </c>
    </row>
    <row r="47" spans="1:10" ht="15" customHeight="1" x14ac:dyDescent="0.45">
      <c r="A47" t="s">
        <v>333</v>
      </c>
      <c r="B47">
        <f>OPEX_DET!B13+OPEX_DET!B14</f>
        <v>12369.763988633429</v>
      </c>
      <c r="C47">
        <f>OPEX_DET!C13+OPEX_DET!C14</f>
        <v>3362.1014204081634</v>
      </c>
      <c r="E47" t="s">
        <v>333</v>
      </c>
      <c r="F47">
        <f>OPEX_DET!C13+OPEX_DET!C14</f>
        <v>3362.1014204081634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6"/>
  <sheetViews>
    <sheetView zoomScaleNormal="100" workbookViewId="0">
      <selection activeCell="B34" sqref="B34"/>
    </sheetView>
  </sheetViews>
  <sheetFormatPr baseColWidth="10" defaultColWidth="9.06640625" defaultRowHeight="14.25" x14ac:dyDescent="0.45"/>
  <cols>
    <col min="1" max="1" width="34.73046875" customWidth="1"/>
    <col min="2" max="2" width="22.73046875" customWidth="1"/>
  </cols>
  <sheetData>
    <row r="1" spans="1:2" ht="16.5" customHeight="1" x14ac:dyDescent="0.5">
      <c r="A1" s="116" t="s">
        <v>344</v>
      </c>
    </row>
    <row r="3" spans="1:2" ht="14.25" customHeight="1" x14ac:dyDescent="0.45">
      <c r="A3" s="117" t="s">
        <v>265</v>
      </c>
      <c r="B3" s="117" t="s">
        <v>120</v>
      </c>
    </row>
    <row r="4" spans="1:2" ht="16.5" customHeight="1" x14ac:dyDescent="0.6">
      <c r="A4" s="118" t="s">
        <v>129</v>
      </c>
      <c r="B4" s="120">
        <v>15</v>
      </c>
    </row>
    <row r="5" spans="1:2" ht="16.5" customHeight="1" x14ac:dyDescent="0.6">
      <c r="A5" s="118" t="s">
        <v>131</v>
      </c>
      <c r="B5" s="111">
        <v>0.08</v>
      </c>
    </row>
    <row r="6" spans="1:2" ht="16.5" customHeight="1" x14ac:dyDescent="0.6">
      <c r="A6" s="118" t="s">
        <v>133</v>
      </c>
      <c r="B6" s="119">
        <v>0</v>
      </c>
    </row>
    <row r="7" spans="1:2" ht="16.5" customHeight="1" x14ac:dyDescent="0.6">
      <c r="A7" s="118" t="s">
        <v>134</v>
      </c>
      <c r="B7" s="119">
        <v>0</v>
      </c>
    </row>
    <row r="8" spans="1:2" ht="16.5" customHeight="1" x14ac:dyDescent="0.6">
      <c r="A8" s="118" t="s">
        <v>136</v>
      </c>
      <c r="B8" s="119">
        <v>250</v>
      </c>
    </row>
    <row r="9" spans="1:2" ht="16.5" customHeight="1" x14ac:dyDescent="0.6">
      <c r="A9" s="118" t="s">
        <v>138</v>
      </c>
      <c r="B9" s="119">
        <v>234.4</v>
      </c>
    </row>
    <row r="10" spans="1:2" ht="16.5" customHeight="1" x14ac:dyDescent="0.6">
      <c r="A10" s="118" t="s">
        <v>139</v>
      </c>
      <c r="B10" s="119">
        <v>3</v>
      </c>
    </row>
    <row r="11" spans="1:2" ht="16.5" customHeight="1" x14ac:dyDescent="0.6">
      <c r="A11" s="118" t="s">
        <v>141</v>
      </c>
      <c r="B11" s="120">
        <v>7920</v>
      </c>
    </row>
    <row r="12" spans="1:2" ht="16.5" customHeight="1" x14ac:dyDescent="0.6">
      <c r="A12" s="118" t="s">
        <v>143</v>
      </c>
      <c r="B12" s="130">
        <v>0.104651162790698</v>
      </c>
    </row>
    <row r="13" spans="1:2" ht="16.5" customHeight="1" x14ac:dyDescent="0.6">
      <c r="A13" s="118" t="s">
        <v>145</v>
      </c>
      <c r="B13" s="111">
        <v>0.05</v>
      </c>
    </row>
    <row r="14" spans="1:2" ht="16.5" customHeight="1" x14ac:dyDescent="0.6">
      <c r="A14" s="118" t="s">
        <v>135</v>
      </c>
      <c r="B14" s="111">
        <v>0.08</v>
      </c>
    </row>
    <row r="15" spans="1:2" ht="16.5" customHeight="1" x14ac:dyDescent="0.6">
      <c r="A15" s="118" t="s">
        <v>146</v>
      </c>
      <c r="B15" s="111">
        <v>0.79</v>
      </c>
    </row>
    <row r="16" spans="1:2" ht="16.5" customHeight="1" x14ac:dyDescent="0.6">
      <c r="A16" s="118" t="s">
        <v>147</v>
      </c>
      <c r="B16" s="130">
        <v>8.8593576965669996E-2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zoomScaleNormal="100" workbookViewId="0"/>
  </sheetViews>
  <sheetFormatPr baseColWidth="10" defaultColWidth="9.06640625" defaultRowHeight="14.25" x14ac:dyDescent="0.45"/>
  <cols>
    <col min="1" max="5" width="24.73046875" customWidth="1"/>
  </cols>
  <sheetData>
    <row r="1" spans="1:5" ht="16.5" customHeight="1" x14ac:dyDescent="0.5">
      <c r="A1" s="116" t="s">
        <v>345</v>
      </c>
    </row>
    <row r="3" spans="1:5" ht="14.25" customHeight="1" x14ac:dyDescent="0.45">
      <c r="A3" s="117" t="s">
        <v>126</v>
      </c>
      <c r="B3" s="117" t="s">
        <v>346</v>
      </c>
      <c r="C3" s="117" t="s">
        <v>347</v>
      </c>
      <c r="D3" s="117" t="s">
        <v>275</v>
      </c>
      <c r="E3" s="117" t="s">
        <v>348</v>
      </c>
    </row>
    <row r="4" spans="1:5" ht="15" customHeight="1" x14ac:dyDescent="0.55000000000000004">
      <c r="A4" s="118" t="s">
        <v>66</v>
      </c>
      <c r="B4" s="118">
        <v>1.1000000000000001</v>
      </c>
      <c r="C4" s="118">
        <v>0.03</v>
      </c>
      <c r="D4" s="118">
        <v>0.1</v>
      </c>
      <c r="E4" s="118">
        <v>0</v>
      </c>
    </row>
    <row r="5" spans="1:5" ht="15" customHeight="1" x14ac:dyDescent="0.55000000000000004">
      <c r="A5" s="118" t="s">
        <v>67</v>
      </c>
      <c r="B5" s="118">
        <v>1</v>
      </c>
      <c r="C5" s="118">
        <v>0.05</v>
      </c>
      <c r="D5" s="118">
        <v>0.08</v>
      </c>
      <c r="E5" s="118">
        <v>0</v>
      </c>
    </row>
    <row r="6" spans="1:5" ht="15" customHeight="1" x14ac:dyDescent="0.55000000000000004">
      <c r="A6" s="118" t="s">
        <v>68</v>
      </c>
      <c r="B6" s="118">
        <v>0.9</v>
      </c>
      <c r="C6" s="118">
        <v>7.0000000000000007E-2</v>
      </c>
      <c r="D6" s="118">
        <v>0.06</v>
      </c>
      <c r="E6" s="118">
        <v>0.15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25</vt:i4>
      </vt:variant>
    </vt:vector>
  </HeadingPairs>
  <TitlesOfParts>
    <vt:vector size="40" baseType="lpstr">
      <vt:lpstr>PORTADA</vt:lpstr>
      <vt:lpstr>DASHBOARD</vt:lpstr>
      <vt:lpstr>DASH_FIN</vt:lpstr>
      <vt:lpstr>DASH_OPS</vt:lpstr>
      <vt:lpstr>INPUTS</vt:lpstr>
      <vt:lpstr>CAPEX_DET</vt:lpstr>
      <vt:lpstr>OPEX_FACTORES</vt:lpstr>
      <vt:lpstr>OPEX_DET</vt:lpstr>
      <vt:lpstr>CF_MODEL</vt:lpstr>
      <vt:lpstr>INDICADORES</vt:lpstr>
      <vt:lpstr>SENS</vt:lpstr>
      <vt:lpstr>_AUX</vt:lpstr>
      <vt:lpstr>_DATA_VIZ</vt:lpstr>
      <vt:lpstr>DEFAULTS</vt:lpstr>
      <vt:lpstr>SCENARIOS</vt:lpstr>
      <vt:lpstr>AhorroBase</vt:lpstr>
      <vt:lpstr>CAPEX_BASE</vt:lpstr>
      <vt:lpstr>CAPEX_MULT</vt:lpstr>
      <vt:lpstr>CAPEX_TOTAL</vt:lpstr>
      <vt:lpstr>CargaKW</vt:lpstr>
      <vt:lpstr>CargaKW_Real</vt:lpstr>
      <vt:lpstr>COP</vt:lpstr>
      <vt:lpstr>EficCaldera</vt:lpstr>
      <vt:lpstr>EscOPEX</vt:lpstr>
      <vt:lpstr>HorasAnio</vt:lpstr>
      <vt:lpstr>Horizonte</vt:lpstr>
      <vt:lpstr>PrecioElec</vt:lpstr>
      <vt:lpstr>PrecioGas</vt:lpstr>
      <vt:lpstr>ResetOn</vt:lpstr>
      <vt:lpstr>ResetSwitch</vt:lpstr>
      <vt:lpstr>SCEN_CAPEX_MULT</vt:lpstr>
      <vt:lpstr>SCEN_ESCALO</vt:lpstr>
      <vt:lpstr>SCEN_NAMES</vt:lpstr>
      <vt:lpstr>SCEN_VALRES</vt:lpstr>
      <vt:lpstr>SCEN_WACC</vt:lpstr>
      <vt:lpstr>ScenarioSel</vt:lpstr>
      <vt:lpstr>TasaImpuesto</vt:lpstr>
      <vt:lpstr>TIR_OBJ</vt:lpstr>
      <vt:lpstr>ValorResidualPct</vt:lpstr>
      <vt:lpstr>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JAG DESIGN</cp:lastModifiedBy>
  <cp:revision>9</cp:revision>
  <dcterms:created xsi:type="dcterms:W3CDTF">2026-05-02T20:21:42Z</dcterms:created>
  <dcterms:modified xsi:type="dcterms:W3CDTF">2026-05-02T21:44:56Z</dcterms:modified>
  <dc:language>en-US</dc:language>
</cp:coreProperties>
</file>